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arso\Desktop\"/>
    </mc:Choice>
  </mc:AlternateContent>
  <xr:revisionPtr revIDLastSave="0" documentId="13_ncr:1_{9B46B806-68A9-49A3-B77A-E04D78452CFD}" xr6:coauthVersionLast="45" xr6:coauthVersionMax="45" xr10:uidLastSave="{00000000-0000-0000-0000-000000000000}"/>
  <bookViews>
    <workbookView xWindow="-120" yWindow="-120" windowWidth="20730" windowHeight="11160" activeTab="1" xr2:uid="{FAB6F59B-63BA-4AC8-8D2C-49C7BC5AD1F2}"/>
  </bookViews>
  <sheets>
    <sheet name="Source" sheetId="1" r:id="rId1"/>
    <sheet name="NCAA v2" sheetId="9" r:id="rId2"/>
    <sheet name="colorRef" sheetId="8" r:id="rId3"/>
    <sheet name="Pairs" sheetId="10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P5" i="9" l="1"/>
  <c r="AP6" i="9"/>
  <c r="AP40" i="9"/>
  <c r="AP159" i="9"/>
  <c r="AP245" i="9"/>
  <c r="AP356" i="9"/>
  <c r="AP28" i="9"/>
  <c r="AP56" i="9"/>
  <c r="AP7" i="9"/>
  <c r="AP22" i="9"/>
  <c r="AP8" i="9"/>
  <c r="AP129" i="9"/>
  <c r="AP343" i="9"/>
  <c r="AP358" i="9"/>
  <c r="AP165" i="9"/>
  <c r="AP12" i="9"/>
  <c r="AP44" i="9"/>
  <c r="AP232" i="9"/>
  <c r="AP11" i="9"/>
  <c r="AP64" i="9"/>
  <c r="AP46" i="9"/>
  <c r="AP15" i="9"/>
  <c r="AP34" i="9"/>
  <c r="AP112" i="9"/>
  <c r="AP89" i="9"/>
  <c r="AP32" i="9"/>
  <c r="AP199" i="9"/>
  <c r="AP315" i="9"/>
  <c r="AP25" i="9"/>
  <c r="AP90" i="9"/>
  <c r="AP84" i="9"/>
  <c r="AP74" i="9"/>
  <c r="AP179" i="9"/>
  <c r="AP37" i="9"/>
  <c r="AP38" i="9"/>
  <c r="AP42" i="9"/>
  <c r="AP141" i="9"/>
  <c r="AP43" i="9"/>
  <c r="AP323" i="9"/>
  <c r="AP86" i="9"/>
  <c r="AP293" i="9"/>
  <c r="AP281" i="9"/>
  <c r="AP48" i="9"/>
  <c r="AP85" i="9"/>
  <c r="AP63" i="9"/>
  <c r="AP146" i="9"/>
  <c r="AP105" i="9"/>
  <c r="AP350" i="9"/>
  <c r="AP104" i="9"/>
  <c r="AP69" i="9"/>
  <c r="AP161" i="9"/>
  <c r="AP126" i="9"/>
  <c r="AP111" i="9"/>
  <c r="AP93" i="9"/>
  <c r="AP142" i="9"/>
  <c r="AP211" i="9"/>
  <c r="AP107" i="9"/>
  <c r="AP341" i="9"/>
  <c r="AP217" i="9"/>
  <c r="AP178" i="9"/>
  <c r="AP318" i="9"/>
  <c r="AP123" i="9"/>
  <c r="AP352" i="9"/>
  <c r="AP137" i="9"/>
  <c r="AP325" i="9"/>
  <c r="AP220" i="9"/>
  <c r="AP209" i="9"/>
  <c r="AP153" i="9"/>
  <c r="AP328" i="9"/>
  <c r="AP155" i="9"/>
  <c r="AP158" i="9"/>
  <c r="AP214" i="9"/>
  <c r="AP162" i="9"/>
  <c r="AP302" i="9"/>
  <c r="AP326" i="9"/>
  <c r="AP166" i="9"/>
  <c r="AP110" i="9"/>
  <c r="AP87" i="9"/>
  <c r="AP202" i="9"/>
  <c r="AP180" i="9"/>
  <c r="AP76" i="9"/>
  <c r="AP154" i="9"/>
  <c r="AP279" i="9"/>
  <c r="AP296" i="9"/>
  <c r="AP182" i="9"/>
  <c r="AP357" i="9"/>
  <c r="AP45" i="9"/>
  <c r="AP124" i="9"/>
  <c r="AP187" i="9"/>
  <c r="AP143" i="9"/>
  <c r="AP145" i="9"/>
  <c r="AP243" i="9"/>
  <c r="AP190" i="9"/>
  <c r="AP255" i="9"/>
  <c r="AP287" i="9"/>
  <c r="AP320" i="9"/>
  <c r="AP276" i="9"/>
  <c r="AP246" i="9"/>
  <c r="AP270" i="9"/>
  <c r="AP176" i="9"/>
  <c r="AP267" i="9"/>
  <c r="AP184" i="9"/>
  <c r="AP261" i="9"/>
  <c r="AP70" i="9"/>
  <c r="AP167" i="9"/>
  <c r="AP225" i="9"/>
  <c r="AP122" i="9"/>
  <c r="AP265" i="9"/>
  <c r="AP77" i="9"/>
  <c r="AP256" i="9"/>
  <c r="AP272" i="9"/>
  <c r="AP221" i="9"/>
  <c r="AP252" i="9"/>
  <c r="AP207" i="9"/>
  <c r="AP208" i="9"/>
  <c r="AP230" i="9"/>
  <c r="AP247" i="9"/>
  <c r="AP234" i="9"/>
  <c r="AP57" i="9"/>
  <c r="AP68" i="9"/>
  <c r="AP304" i="9"/>
  <c r="AP186" i="9"/>
  <c r="AP181" i="9"/>
  <c r="AP222" i="9"/>
  <c r="AP223" i="9"/>
  <c r="AP283" i="9"/>
  <c r="AP171" i="9"/>
  <c r="AP228" i="9"/>
  <c r="AP229" i="9"/>
  <c r="AP319" i="9"/>
  <c r="AP240" i="9"/>
  <c r="AP275" i="9"/>
  <c r="AP313" i="9"/>
  <c r="AP157" i="9"/>
  <c r="AP334" i="9"/>
  <c r="AP299" i="9"/>
  <c r="AP94" i="9"/>
  <c r="AP298" i="9"/>
  <c r="AP231" i="9"/>
  <c r="AP233" i="9"/>
  <c r="AP259" i="9"/>
  <c r="AP254" i="9"/>
  <c r="AP237" i="9"/>
  <c r="AP301" i="9"/>
  <c r="AP327" i="9"/>
  <c r="AP284" i="9"/>
  <c r="AP206" i="9"/>
  <c r="AP67" i="9"/>
  <c r="AP311" i="9"/>
  <c r="AP264" i="9"/>
  <c r="AP344" i="9"/>
  <c r="AP172" i="9"/>
  <c r="AP195" i="9"/>
  <c r="AP289" i="9"/>
  <c r="AP248" i="9"/>
  <c r="AP280" i="9"/>
  <c r="AP185" i="9"/>
  <c r="AP21" i="9"/>
  <c r="AP242" i="9"/>
  <c r="AP288" i="9"/>
  <c r="AP305" i="9"/>
  <c r="AP219" i="9"/>
  <c r="AP75" i="9"/>
  <c r="AP345" i="9"/>
  <c r="AP118" i="9"/>
  <c r="AP277" i="9"/>
  <c r="AP266" i="9"/>
  <c r="AP269" i="9"/>
  <c r="AP108" i="9"/>
  <c r="AP100" i="9"/>
  <c r="AP51" i="9"/>
  <c r="AP169" i="9"/>
  <c r="AP52" i="9"/>
  <c r="AP312" i="9"/>
  <c r="AP285" i="9"/>
  <c r="AP120" i="9"/>
  <c r="AP331" i="9"/>
  <c r="AP297" i="9"/>
  <c r="AP251" i="9"/>
  <c r="AP127" i="9"/>
  <c r="AP102" i="9"/>
  <c r="AP290" i="9"/>
  <c r="AP292" i="9"/>
  <c r="AP194" i="9"/>
  <c r="AP278" i="9"/>
  <c r="AP136" i="9"/>
  <c r="AP135" i="9"/>
  <c r="AP149" i="9"/>
  <c r="AP213" i="9"/>
  <c r="AP36" i="9"/>
  <c r="AP62" i="9"/>
  <c r="AP92" i="9"/>
  <c r="AP286" i="9"/>
  <c r="AP215" i="9"/>
  <c r="AP151" i="9"/>
  <c r="AP27" i="9"/>
  <c r="AP23" i="9"/>
  <c r="AP81" i="9"/>
  <c r="AP300" i="9"/>
  <c r="AP80" i="9"/>
  <c r="AP78" i="9"/>
  <c r="AP116" i="9"/>
  <c r="AP212" i="9"/>
  <c r="AP192" i="9"/>
  <c r="AP227" i="9"/>
  <c r="AP101" i="9"/>
  <c r="AP168" i="9"/>
  <c r="AP295" i="9"/>
  <c r="AP268" i="9"/>
  <c r="AP189" i="9"/>
  <c r="AP291" i="9"/>
  <c r="AP260" i="9"/>
  <c r="AP282" i="9"/>
  <c r="AP79" i="9"/>
  <c r="AP310" i="9"/>
  <c r="AP24" i="9"/>
  <c r="AP200" i="9"/>
  <c r="AP201" i="9"/>
  <c r="AP216" i="9"/>
  <c r="AP125" i="9"/>
  <c r="AP31" i="9"/>
  <c r="AP97" i="9"/>
  <c r="AP338" i="9"/>
  <c r="AP193" i="9"/>
  <c r="AP196" i="9"/>
  <c r="AP148" i="9"/>
  <c r="AP163" i="9"/>
  <c r="AP140" i="9"/>
  <c r="AP114" i="9"/>
  <c r="AP322" i="9"/>
  <c r="AP113" i="9"/>
  <c r="AP339" i="9"/>
  <c r="AP150" i="9"/>
  <c r="AP13" i="9"/>
  <c r="AP30" i="9"/>
  <c r="AP175" i="9"/>
  <c r="AP183" i="9"/>
  <c r="AP66" i="9"/>
  <c r="AP128" i="9"/>
  <c r="AP53" i="9"/>
  <c r="AP61" i="9"/>
  <c r="AP49" i="9"/>
  <c r="AP174" i="9"/>
  <c r="AP73" i="9"/>
  <c r="AP117" i="9"/>
  <c r="AP164" i="9"/>
  <c r="AP131" i="9"/>
  <c r="AP355" i="9"/>
  <c r="AP303" i="9"/>
  <c r="AP235" i="9"/>
  <c r="AP58" i="9"/>
  <c r="AP309" i="9"/>
  <c r="AP238" i="9"/>
  <c r="AP14" i="9"/>
  <c r="AP33" i="9"/>
  <c r="AP17" i="9"/>
  <c r="AP55" i="9"/>
  <c r="AP18" i="9"/>
  <c r="AP133" i="9"/>
  <c r="AP317" i="9"/>
  <c r="AP71" i="9"/>
  <c r="AP39" i="9"/>
  <c r="AP19" i="9"/>
  <c r="AP257" i="9"/>
  <c r="AP258" i="9"/>
  <c r="AP353" i="9"/>
  <c r="AP47" i="9"/>
  <c r="AP26" i="9"/>
  <c r="AP198" i="9"/>
  <c r="AP59" i="9"/>
  <c r="AP170" i="9"/>
  <c r="AP103" i="9"/>
  <c r="AP336" i="9"/>
  <c r="AP333" i="9"/>
  <c r="AP205" i="9"/>
  <c r="AP321" i="9"/>
  <c r="AP306" i="9"/>
  <c r="AP119" i="9"/>
  <c r="AP263" i="9"/>
  <c r="AP41" i="9"/>
  <c r="AP50" i="9"/>
  <c r="AP294" i="9"/>
  <c r="AP335" i="9"/>
  <c r="AP244" i="9"/>
  <c r="AP35" i="9"/>
  <c r="AP349" i="9"/>
  <c r="AP65" i="9"/>
  <c r="AP132" i="9"/>
  <c r="AP324" i="9"/>
  <c r="AP226" i="9"/>
  <c r="AP147" i="9"/>
  <c r="AP60" i="9"/>
  <c r="AP20" i="9"/>
  <c r="AP54" i="9"/>
  <c r="AP210" i="9"/>
  <c r="AP173" i="9"/>
  <c r="AP253" i="9"/>
  <c r="AP351" i="9"/>
  <c r="AP29" i="9"/>
  <c r="AP144" i="9"/>
  <c r="AP88" i="9"/>
  <c r="AP274" i="9"/>
  <c r="AP16" i="9"/>
  <c r="AP224" i="9"/>
  <c r="AP241" i="9"/>
  <c r="AP218" i="9"/>
  <c r="AP83" i="9"/>
  <c r="AP134" i="9"/>
  <c r="AP130" i="9"/>
  <c r="AP191" i="9"/>
  <c r="AP340" i="9"/>
  <c r="AP156" i="9"/>
  <c r="AP99" i="9"/>
  <c r="AP139" i="9"/>
  <c r="AP72" i="9"/>
  <c r="AP348" i="9"/>
  <c r="AP271" i="9"/>
  <c r="AP329" i="9"/>
  <c r="AP138" i="9"/>
  <c r="AP121" i="9"/>
  <c r="AP354" i="9"/>
  <c r="AP337" i="9"/>
  <c r="AP98" i="9"/>
  <c r="AP262" i="9"/>
  <c r="AP82" i="9"/>
  <c r="AP91" i="9"/>
  <c r="AP152" i="9"/>
  <c r="AP346" i="9"/>
  <c r="AP160" i="9"/>
  <c r="AP115" i="9"/>
  <c r="AP203" i="9"/>
  <c r="AP204" i="9"/>
  <c r="AP273" i="9"/>
  <c r="AP239" i="9"/>
  <c r="AP95" i="9"/>
  <c r="AP96" i="9"/>
  <c r="AP342" i="9"/>
  <c r="AP314" i="9"/>
  <c r="AP330" i="9"/>
  <c r="AP249" i="9"/>
  <c r="AP316" i="9"/>
  <c r="AP177" i="9"/>
  <c r="AP332" i="9"/>
  <c r="AP106" i="9"/>
  <c r="AP236" i="9"/>
  <c r="AP307" i="9"/>
  <c r="AP9" i="9"/>
  <c r="AP10" i="9"/>
  <c r="AP188" i="9"/>
  <c r="AP109" i="9"/>
  <c r="AP347" i="9"/>
  <c r="AP197" i="9"/>
  <c r="AP308" i="9"/>
  <c r="AP250" i="9"/>
  <c r="AO5" i="9"/>
  <c r="AO6" i="9"/>
  <c r="AO40" i="9"/>
  <c r="AQ40" i="9" s="1"/>
  <c r="AO159" i="9"/>
  <c r="AO245" i="9"/>
  <c r="AO356" i="9"/>
  <c r="AO28" i="9"/>
  <c r="AO56" i="9"/>
  <c r="AO7" i="9"/>
  <c r="AO22" i="9"/>
  <c r="AO8" i="9"/>
  <c r="AO129" i="9"/>
  <c r="AO343" i="9"/>
  <c r="AO358" i="9"/>
  <c r="AO165" i="9"/>
  <c r="AO12" i="9"/>
  <c r="AO44" i="9"/>
  <c r="AO232" i="9"/>
  <c r="AO11" i="9"/>
  <c r="AO64" i="9"/>
  <c r="AO46" i="9"/>
  <c r="AO15" i="9"/>
  <c r="AO34" i="9"/>
  <c r="AO112" i="9"/>
  <c r="AO89" i="9"/>
  <c r="AO32" i="9"/>
  <c r="AO199" i="9"/>
  <c r="AQ199" i="9" s="1"/>
  <c r="AO315" i="9"/>
  <c r="AO25" i="9"/>
  <c r="AO90" i="9"/>
  <c r="AO84" i="9"/>
  <c r="AO74" i="9"/>
  <c r="AO179" i="9"/>
  <c r="AO37" i="9"/>
  <c r="AO38" i="9"/>
  <c r="AQ38" i="9" s="1"/>
  <c r="AO42" i="9"/>
  <c r="AO141" i="9"/>
  <c r="AQ141" i="9" s="1"/>
  <c r="AO43" i="9"/>
  <c r="AO323" i="9"/>
  <c r="AO86" i="9"/>
  <c r="AO293" i="9"/>
  <c r="AO281" i="9"/>
  <c r="AO48" i="9"/>
  <c r="AQ48" i="9" s="1"/>
  <c r="AO85" i="9"/>
  <c r="AO63" i="9"/>
  <c r="AQ63" i="9" s="1"/>
  <c r="AO146" i="9"/>
  <c r="AO105" i="9"/>
  <c r="AO350" i="9"/>
  <c r="AO104" i="9"/>
  <c r="AO69" i="9"/>
  <c r="AO161" i="9"/>
  <c r="AO126" i="9"/>
  <c r="AO111" i="9"/>
  <c r="AO93" i="9"/>
  <c r="AO142" i="9"/>
  <c r="AO211" i="9"/>
  <c r="AO107" i="9"/>
  <c r="AO341" i="9"/>
  <c r="AO217" i="9"/>
  <c r="AO178" i="9"/>
  <c r="AO318" i="9"/>
  <c r="AO123" i="9"/>
  <c r="AO352" i="9"/>
  <c r="AO137" i="9"/>
  <c r="AO325" i="9"/>
  <c r="AO220" i="9"/>
  <c r="AO209" i="9"/>
  <c r="AO153" i="9"/>
  <c r="AO328" i="9"/>
  <c r="AO155" i="9"/>
  <c r="AO158" i="9"/>
  <c r="AO214" i="9"/>
  <c r="AO162" i="9"/>
  <c r="AO302" i="9"/>
  <c r="AO326" i="9"/>
  <c r="AO166" i="9"/>
  <c r="AQ166" i="9" s="1"/>
  <c r="AO110" i="9"/>
  <c r="AO87" i="9"/>
  <c r="AO202" i="9"/>
  <c r="AO180" i="9"/>
  <c r="AO76" i="9"/>
  <c r="AO154" i="9"/>
  <c r="AO279" i="9"/>
  <c r="AO296" i="9"/>
  <c r="AQ296" i="9" s="1"/>
  <c r="AO182" i="9"/>
  <c r="AO357" i="9"/>
  <c r="AO45" i="9"/>
  <c r="AO124" i="9"/>
  <c r="AO187" i="9"/>
  <c r="AO143" i="9"/>
  <c r="AO145" i="9"/>
  <c r="AO243" i="9"/>
  <c r="AO190" i="9"/>
  <c r="AO255" i="9"/>
  <c r="AO287" i="9"/>
  <c r="AO320" i="9"/>
  <c r="AO276" i="9"/>
  <c r="AO246" i="9"/>
  <c r="AO270" i="9"/>
  <c r="AO176" i="9"/>
  <c r="AO267" i="9"/>
  <c r="AO184" i="9"/>
  <c r="AO261" i="9"/>
  <c r="AO70" i="9"/>
  <c r="AO167" i="9"/>
  <c r="AO225" i="9"/>
  <c r="AO122" i="9"/>
  <c r="AO265" i="9"/>
  <c r="AO77" i="9"/>
  <c r="AQ77" i="9" s="1"/>
  <c r="AO256" i="9"/>
  <c r="AO272" i="9"/>
  <c r="AO221" i="9"/>
  <c r="AO252" i="9"/>
  <c r="AO207" i="9"/>
  <c r="AO208" i="9"/>
  <c r="AO230" i="9"/>
  <c r="AO247" i="9"/>
  <c r="AO234" i="9"/>
  <c r="AO57" i="9"/>
  <c r="AO68" i="9"/>
  <c r="AO304" i="9"/>
  <c r="AO186" i="9"/>
  <c r="AO181" i="9"/>
  <c r="AO222" i="9"/>
  <c r="AO223" i="9"/>
  <c r="AO283" i="9"/>
  <c r="AO171" i="9"/>
  <c r="AO228" i="9"/>
  <c r="AO229" i="9"/>
  <c r="AO319" i="9"/>
  <c r="AO240" i="9"/>
  <c r="AO275" i="9"/>
  <c r="AO313" i="9"/>
  <c r="AO157" i="9"/>
  <c r="AO334" i="9"/>
  <c r="AO299" i="9"/>
  <c r="AO94" i="9"/>
  <c r="AO298" i="9"/>
  <c r="AO231" i="9"/>
  <c r="AO233" i="9"/>
  <c r="AQ233" i="9" s="1"/>
  <c r="AO259" i="9"/>
  <c r="AO254" i="9"/>
  <c r="AO237" i="9"/>
  <c r="AO301" i="9"/>
  <c r="AO327" i="9"/>
  <c r="AO284" i="9"/>
  <c r="AO206" i="9"/>
  <c r="AO67" i="9"/>
  <c r="AO311" i="9"/>
  <c r="AO264" i="9"/>
  <c r="AO344" i="9"/>
  <c r="AO172" i="9"/>
  <c r="AO195" i="9"/>
  <c r="AO289" i="9"/>
  <c r="AO248" i="9"/>
  <c r="AO280" i="9"/>
  <c r="AO185" i="9"/>
  <c r="AO21" i="9"/>
  <c r="AO242" i="9"/>
  <c r="AO288" i="9"/>
  <c r="AO305" i="9"/>
  <c r="AO219" i="9"/>
  <c r="AO75" i="9"/>
  <c r="AO345" i="9"/>
  <c r="AO118" i="9"/>
  <c r="AO277" i="9"/>
  <c r="AO266" i="9"/>
  <c r="AO269" i="9"/>
  <c r="AO108" i="9"/>
  <c r="AO100" i="9"/>
  <c r="AO51" i="9"/>
  <c r="AO169" i="9"/>
  <c r="AO52" i="9"/>
  <c r="AO312" i="9"/>
  <c r="AO285" i="9"/>
  <c r="AO120" i="9"/>
  <c r="AO331" i="9"/>
  <c r="AO297" i="9"/>
  <c r="AO251" i="9"/>
  <c r="AO127" i="9"/>
  <c r="AO102" i="9"/>
  <c r="AO290" i="9"/>
  <c r="AO292" i="9"/>
  <c r="AO194" i="9"/>
  <c r="AO278" i="9"/>
  <c r="AO136" i="9"/>
  <c r="AO135" i="9"/>
  <c r="AO149" i="9"/>
  <c r="AO213" i="9"/>
  <c r="AO36" i="9"/>
  <c r="AO62" i="9"/>
  <c r="AO92" i="9"/>
  <c r="AO286" i="9"/>
  <c r="AO215" i="9"/>
  <c r="AO151" i="9"/>
  <c r="AO27" i="9"/>
  <c r="AO23" i="9"/>
  <c r="AO81" i="9"/>
  <c r="AO300" i="9"/>
  <c r="AO80" i="9"/>
  <c r="AO78" i="9"/>
  <c r="AO116" i="9"/>
  <c r="AO212" i="9"/>
  <c r="AO192" i="9"/>
  <c r="AO227" i="9"/>
  <c r="AO101" i="9"/>
  <c r="AO168" i="9"/>
  <c r="AO295" i="9"/>
  <c r="AO268" i="9"/>
  <c r="AO189" i="9"/>
  <c r="AO291" i="9"/>
  <c r="AO260" i="9"/>
  <c r="AO282" i="9"/>
  <c r="AO79" i="9"/>
  <c r="AO310" i="9"/>
  <c r="AO24" i="9"/>
  <c r="AO200" i="9"/>
  <c r="AO201" i="9"/>
  <c r="AO216" i="9"/>
  <c r="AO125" i="9"/>
  <c r="AO31" i="9"/>
  <c r="AO97" i="9"/>
  <c r="AO338" i="9"/>
  <c r="AO193" i="9"/>
  <c r="AO196" i="9"/>
  <c r="AO148" i="9"/>
  <c r="AO163" i="9"/>
  <c r="AO140" i="9"/>
  <c r="AO114" i="9"/>
  <c r="AO322" i="9"/>
  <c r="AO113" i="9"/>
  <c r="AO339" i="9"/>
  <c r="AO150" i="9"/>
  <c r="AO13" i="9"/>
  <c r="AO30" i="9"/>
  <c r="AO175" i="9"/>
  <c r="AO183" i="9"/>
  <c r="AO66" i="9"/>
  <c r="AO128" i="9"/>
  <c r="AO53" i="9"/>
  <c r="AO61" i="9"/>
  <c r="AO49" i="9"/>
  <c r="AO174" i="9"/>
  <c r="AO73" i="9"/>
  <c r="AO117" i="9"/>
  <c r="AO164" i="9"/>
  <c r="AO131" i="9"/>
  <c r="AO355" i="9"/>
  <c r="AO303" i="9"/>
  <c r="AO235" i="9"/>
  <c r="AO58" i="9"/>
  <c r="AO309" i="9"/>
  <c r="AO238" i="9"/>
  <c r="AO14" i="9"/>
  <c r="AO33" i="9"/>
  <c r="AO17" i="9"/>
  <c r="AO55" i="9"/>
  <c r="AO18" i="9"/>
  <c r="AO133" i="9"/>
  <c r="AO317" i="9"/>
  <c r="AO71" i="9"/>
  <c r="AO39" i="9"/>
  <c r="AO19" i="9"/>
  <c r="AO257" i="9"/>
  <c r="AO258" i="9"/>
  <c r="AO353" i="9"/>
  <c r="AO47" i="9"/>
  <c r="AO26" i="9"/>
  <c r="AO198" i="9"/>
  <c r="AO59" i="9"/>
  <c r="AO170" i="9"/>
  <c r="AO103" i="9"/>
  <c r="AO336" i="9"/>
  <c r="AO333" i="9"/>
  <c r="AO205" i="9"/>
  <c r="AO321" i="9"/>
  <c r="AO306" i="9"/>
  <c r="AO119" i="9"/>
  <c r="AO263" i="9"/>
  <c r="AO41" i="9"/>
  <c r="AO50" i="9"/>
  <c r="AO294" i="9"/>
  <c r="AO335" i="9"/>
  <c r="AO244" i="9"/>
  <c r="AO35" i="9"/>
  <c r="AO349" i="9"/>
  <c r="AO65" i="9"/>
  <c r="AO132" i="9"/>
  <c r="AO324" i="9"/>
  <c r="AO226" i="9"/>
  <c r="AO147" i="9"/>
  <c r="AO60" i="9"/>
  <c r="AO20" i="9"/>
  <c r="AO54" i="9"/>
  <c r="AO210" i="9"/>
  <c r="AO173" i="9"/>
  <c r="AO253" i="9"/>
  <c r="AO351" i="9"/>
  <c r="AO29" i="9"/>
  <c r="AO144" i="9"/>
  <c r="AO88" i="9"/>
  <c r="AO274" i="9"/>
  <c r="AO16" i="9"/>
  <c r="AO224" i="9"/>
  <c r="AO241" i="9"/>
  <c r="AO218" i="9"/>
  <c r="AO83" i="9"/>
  <c r="AO134" i="9"/>
  <c r="AO130" i="9"/>
  <c r="AO191" i="9"/>
  <c r="AO340" i="9"/>
  <c r="AO156" i="9"/>
  <c r="AO99" i="9"/>
  <c r="AO139" i="9"/>
  <c r="AO72" i="9"/>
  <c r="AO348" i="9"/>
  <c r="AO271" i="9"/>
  <c r="AO329" i="9"/>
  <c r="AO138" i="9"/>
  <c r="AO121" i="9"/>
  <c r="AO354" i="9"/>
  <c r="AO337" i="9"/>
  <c r="AO98" i="9"/>
  <c r="AO262" i="9"/>
  <c r="AO82" i="9"/>
  <c r="AO91" i="9"/>
  <c r="AO152" i="9"/>
  <c r="AO346" i="9"/>
  <c r="AO160" i="9"/>
  <c r="AO115" i="9"/>
  <c r="AO203" i="9"/>
  <c r="AO204" i="9"/>
  <c r="AO273" i="9"/>
  <c r="AO239" i="9"/>
  <c r="AO95" i="9"/>
  <c r="AO96" i="9"/>
  <c r="AO342" i="9"/>
  <c r="AO314" i="9"/>
  <c r="AO330" i="9"/>
  <c r="AO249" i="9"/>
  <c r="AO316" i="9"/>
  <c r="AO177" i="9"/>
  <c r="AO332" i="9"/>
  <c r="AO106" i="9"/>
  <c r="AO236" i="9"/>
  <c r="AO307" i="9"/>
  <c r="AO9" i="9"/>
  <c r="AO10" i="9"/>
  <c r="AO188" i="9"/>
  <c r="AO109" i="9"/>
  <c r="AO347" i="9"/>
  <c r="AO197" i="9"/>
  <c r="AO308" i="9"/>
  <c r="AO250" i="9"/>
  <c r="AM5" i="9"/>
  <c r="AM6" i="9"/>
  <c r="AM40" i="9"/>
  <c r="AM159" i="9"/>
  <c r="AM245" i="9"/>
  <c r="AM356" i="9"/>
  <c r="AM28" i="9"/>
  <c r="AM56" i="9"/>
  <c r="AM7" i="9"/>
  <c r="AM22" i="9"/>
  <c r="AM8" i="9"/>
  <c r="AM129" i="9"/>
  <c r="AM343" i="9"/>
  <c r="AM358" i="9"/>
  <c r="AM165" i="9"/>
  <c r="AM12" i="9"/>
  <c r="AM44" i="9"/>
  <c r="AM232" i="9"/>
  <c r="AM11" i="9"/>
  <c r="AM64" i="9"/>
  <c r="AM46" i="9"/>
  <c r="AM15" i="9"/>
  <c r="AM34" i="9"/>
  <c r="AM112" i="9"/>
  <c r="AM89" i="9"/>
  <c r="AM32" i="9"/>
  <c r="AM199" i="9"/>
  <c r="AM315" i="9"/>
  <c r="AM25" i="9"/>
  <c r="AM90" i="9"/>
  <c r="AM84" i="9"/>
  <c r="AM74" i="9"/>
  <c r="AM179" i="9"/>
  <c r="AM37" i="9"/>
  <c r="AM38" i="9"/>
  <c r="AM42" i="9"/>
  <c r="AM141" i="9"/>
  <c r="AM43" i="9"/>
  <c r="AM323" i="9"/>
  <c r="AM86" i="9"/>
  <c r="AM293" i="9"/>
  <c r="AM281" i="9"/>
  <c r="AM48" i="9"/>
  <c r="AM85" i="9"/>
  <c r="AM63" i="9"/>
  <c r="AM146" i="9"/>
  <c r="AM105" i="9"/>
  <c r="AM350" i="9"/>
  <c r="AM104" i="9"/>
  <c r="AM69" i="9"/>
  <c r="AM161" i="9"/>
  <c r="AM126" i="9"/>
  <c r="AM111" i="9"/>
  <c r="AM93" i="9"/>
  <c r="AM142" i="9"/>
  <c r="AM211" i="9"/>
  <c r="AM107" i="9"/>
  <c r="AM341" i="9"/>
  <c r="AM217" i="9"/>
  <c r="AM178" i="9"/>
  <c r="AM318" i="9"/>
  <c r="AM123" i="9"/>
  <c r="AM352" i="9"/>
  <c r="AM137" i="9"/>
  <c r="AM325" i="9"/>
  <c r="AM220" i="9"/>
  <c r="AM209" i="9"/>
  <c r="AM153" i="9"/>
  <c r="AM328" i="9"/>
  <c r="AM155" i="9"/>
  <c r="AM158" i="9"/>
  <c r="AM214" i="9"/>
  <c r="AM162" i="9"/>
  <c r="AM302" i="9"/>
  <c r="AM326" i="9"/>
  <c r="AM166" i="9"/>
  <c r="AM110" i="9"/>
  <c r="AM87" i="9"/>
  <c r="AM202" i="9"/>
  <c r="AM180" i="9"/>
  <c r="AM76" i="9"/>
  <c r="AM154" i="9"/>
  <c r="AM279" i="9"/>
  <c r="AM296" i="9"/>
  <c r="AM182" i="9"/>
  <c r="AM357" i="9"/>
  <c r="AM45" i="9"/>
  <c r="AM124" i="9"/>
  <c r="AM187" i="9"/>
  <c r="AM143" i="9"/>
  <c r="AM145" i="9"/>
  <c r="AM243" i="9"/>
  <c r="AM190" i="9"/>
  <c r="AM255" i="9"/>
  <c r="AM287" i="9"/>
  <c r="AM320" i="9"/>
  <c r="AM276" i="9"/>
  <c r="AM246" i="9"/>
  <c r="AM270" i="9"/>
  <c r="AM176" i="9"/>
  <c r="AM267" i="9"/>
  <c r="AM184" i="9"/>
  <c r="AM261" i="9"/>
  <c r="AM70" i="9"/>
  <c r="AM167" i="9"/>
  <c r="AM225" i="9"/>
  <c r="AM122" i="9"/>
  <c r="AM265" i="9"/>
  <c r="AM77" i="9"/>
  <c r="AM256" i="9"/>
  <c r="AM272" i="9"/>
  <c r="AM221" i="9"/>
  <c r="AM252" i="9"/>
  <c r="AM207" i="9"/>
  <c r="AM208" i="9"/>
  <c r="AM230" i="9"/>
  <c r="AM247" i="9"/>
  <c r="AM234" i="9"/>
  <c r="AM57" i="9"/>
  <c r="AM68" i="9"/>
  <c r="AM304" i="9"/>
  <c r="AM186" i="9"/>
  <c r="AM181" i="9"/>
  <c r="AM222" i="9"/>
  <c r="AM223" i="9"/>
  <c r="AM283" i="9"/>
  <c r="AM171" i="9"/>
  <c r="AM228" i="9"/>
  <c r="AM229" i="9"/>
  <c r="AM319" i="9"/>
  <c r="AM240" i="9"/>
  <c r="AM275" i="9"/>
  <c r="AM313" i="9"/>
  <c r="AM157" i="9"/>
  <c r="AM334" i="9"/>
  <c r="AM299" i="9"/>
  <c r="AM94" i="9"/>
  <c r="AM298" i="9"/>
  <c r="AM231" i="9"/>
  <c r="AM233" i="9"/>
  <c r="AM259" i="9"/>
  <c r="AM254" i="9"/>
  <c r="AM237" i="9"/>
  <c r="AM301" i="9"/>
  <c r="AM327" i="9"/>
  <c r="AM284" i="9"/>
  <c r="AM206" i="9"/>
  <c r="AM67" i="9"/>
  <c r="AM311" i="9"/>
  <c r="AM264" i="9"/>
  <c r="AM344" i="9"/>
  <c r="AM172" i="9"/>
  <c r="AM195" i="9"/>
  <c r="AM289" i="9"/>
  <c r="AM248" i="9"/>
  <c r="AM280" i="9"/>
  <c r="AM185" i="9"/>
  <c r="AM21" i="9"/>
  <c r="AM242" i="9"/>
  <c r="AM288" i="9"/>
  <c r="AM305" i="9"/>
  <c r="AM219" i="9"/>
  <c r="AM75" i="9"/>
  <c r="AM345" i="9"/>
  <c r="AM118" i="9"/>
  <c r="AM277" i="9"/>
  <c r="AM266" i="9"/>
  <c r="AM269" i="9"/>
  <c r="AM108" i="9"/>
  <c r="AM100" i="9"/>
  <c r="AM51" i="9"/>
  <c r="AM169" i="9"/>
  <c r="AM52" i="9"/>
  <c r="AM312" i="9"/>
  <c r="AM285" i="9"/>
  <c r="AM120" i="9"/>
  <c r="AM331" i="9"/>
  <c r="AM297" i="9"/>
  <c r="AM251" i="9"/>
  <c r="AM127" i="9"/>
  <c r="AM102" i="9"/>
  <c r="AM290" i="9"/>
  <c r="AM292" i="9"/>
  <c r="AM194" i="9"/>
  <c r="AM278" i="9"/>
  <c r="AM136" i="9"/>
  <c r="AM135" i="9"/>
  <c r="AM149" i="9"/>
  <c r="AM213" i="9"/>
  <c r="AM36" i="9"/>
  <c r="AM62" i="9"/>
  <c r="AM92" i="9"/>
  <c r="AM286" i="9"/>
  <c r="AM215" i="9"/>
  <c r="AM151" i="9"/>
  <c r="AM27" i="9"/>
  <c r="AM23" i="9"/>
  <c r="AM81" i="9"/>
  <c r="AM300" i="9"/>
  <c r="AM80" i="9"/>
  <c r="AM78" i="9"/>
  <c r="AM116" i="9"/>
  <c r="AM212" i="9"/>
  <c r="AM192" i="9"/>
  <c r="AM227" i="9"/>
  <c r="AM101" i="9"/>
  <c r="AM168" i="9"/>
  <c r="AM295" i="9"/>
  <c r="AM268" i="9"/>
  <c r="AM189" i="9"/>
  <c r="AM291" i="9"/>
  <c r="AM260" i="9"/>
  <c r="AM282" i="9"/>
  <c r="AM79" i="9"/>
  <c r="AM310" i="9"/>
  <c r="AM24" i="9"/>
  <c r="AM200" i="9"/>
  <c r="AM201" i="9"/>
  <c r="AM216" i="9"/>
  <c r="AM125" i="9"/>
  <c r="AM31" i="9"/>
  <c r="AM97" i="9"/>
  <c r="AM338" i="9"/>
  <c r="AM193" i="9"/>
  <c r="AM196" i="9"/>
  <c r="AM148" i="9"/>
  <c r="AM163" i="9"/>
  <c r="AM140" i="9"/>
  <c r="AM114" i="9"/>
  <c r="AM322" i="9"/>
  <c r="AM113" i="9"/>
  <c r="AM339" i="9"/>
  <c r="AM150" i="9"/>
  <c r="AM13" i="9"/>
  <c r="AM30" i="9"/>
  <c r="AM175" i="9"/>
  <c r="AM183" i="9"/>
  <c r="AM66" i="9"/>
  <c r="AM128" i="9"/>
  <c r="AM53" i="9"/>
  <c r="AM61" i="9"/>
  <c r="AM49" i="9"/>
  <c r="AM174" i="9"/>
  <c r="AM73" i="9"/>
  <c r="AM117" i="9"/>
  <c r="AM164" i="9"/>
  <c r="AM131" i="9"/>
  <c r="AM355" i="9"/>
  <c r="AM303" i="9"/>
  <c r="AM235" i="9"/>
  <c r="AM58" i="9"/>
  <c r="AM309" i="9"/>
  <c r="AM238" i="9"/>
  <c r="AM14" i="9"/>
  <c r="AM33" i="9"/>
  <c r="AM17" i="9"/>
  <c r="AM55" i="9"/>
  <c r="AM18" i="9"/>
  <c r="AM133" i="9"/>
  <c r="AM317" i="9"/>
  <c r="AM71" i="9"/>
  <c r="AM39" i="9"/>
  <c r="AM19" i="9"/>
  <c r="AM257" i="9"/>
  <c r="AM258" i="9"/>
  <c r="AM353" i="9"/>
  <c r="AM47" i="9"/>
  <c r="AM26" i="9"/>
  <c r="AM198" i="9"/>
  <c r="AM59" i="9"/>
  <c r="AM170" i="9"/>
  <c r="AM103" i="9"/>
  <c r="AM336" i="9"/>
  <c r="AM333" i="9"/>
  <c r="AM205" i="9"/>
  <c r="AM321" i="9"/>
  <c r="AM306" i="9"/>
  <c r="AM119" i="9"/>
  <c r="AM263" i="9"/>
  <c r="AM41" i="9"/>
  <c r="AM50" i="9"/>
  <c r="AM294" i="9"/>
  <c r="AM335" i="9"/>
  <c r="AM244" i="9"/>
  <c r="AM35" i="9"/>
  <c r="AM349" i="9"/>
  <c r="AM65" i="9"/>
  <c r="AM132" i="9"/>
  <c r="AM324" i="9"/>
  <c r="AM226" i="9"/>
  <c r="AM147" i="9"/>
  <c r="AM60" i="9"/>
  <c r="AM20" i="9"/>
  <c r="AM54" i="9"/>
  <c r="AM210" i="9"/>
  <c r="AM173" i="9"/>
  <c r="AM253" i="9"/>
  <c r="AM351" i="9"/>
  <c r="AM29" i="9"/>
  <c r="AM144" i="9"/>
  <c r="AM88" i="9"/>
  <c r="AM274" i="9"/>
  <c r="AM16" i="9"/>
  <c r="AM224" i="9"/>
  <c r="AM241" i="9"/>
  <c r="AM218" i="9"/>
  <c r="AM83" i="9"/>
  <c r="AM134" i="9"/>
  <c r="AM130" i="9"/>
  <c r="AM191" i="9"/>
  <c r="AM340" i="9"/>
  <c r="AM156" i="9"/>
  <c r="AM99" i="9"/>
  <c r="AM139" i="9"/>
  <c r="AM72" i="9"/>
  <c r="AM348" i="9"/>
  <c r="AM271" i="9"/>
  <c r="AM329" i="9"/>
  <c r="AM138" i="9"/>
  <c r="AM121" i="9"/>
  <c r="AM354" i="9"/>
  <c r="AM337" i="9"/>
  <c r="AM98" i="9"/>
  <c r="AM262" i="9"/>
  <c r="AM82" i="9"/>
  <c r="AM91" i="9"/>
  <c r="AM152" i="9"/>
  <c r="AM346" i="9"/>
  <c r="AM160" i="9"/>
  <c r="AM115" i="9"/>
  <c r="AM203" i="9"/>
  <c r="AM204" i="9"/>
  <c r="AM273" i="9"/>
  <c r="AM239" i="9"/>
  <c r="AM95" i="9"/>
  <c r="AM96" i="9"/>
  <c r="AM342" i="9"/>
  <c r="AM314" i="9"/>
  <c r="AM330" i="9"/>
  <c r="AM249" i="9"/>
  <c r="AM316" i="9"/>
  <c r="AM177" i="9"/>
  <c r="AM332" i="9"/>
  <c r="AM106" i="9"/>
  <c r="AM236" i="9"/>
  <c r="AM307" i="9"/>
  <c r="AM9" i="9"/>
  <c r="AM10" i="9"/>
  <c r="AM188" i="9"/>
  <c r="AM109" i="9"/>
  <c r="AM347" i="9"/>
  <c r="AM197" i="9"/>
  <c r="AM308" i="9"/>
  <c r="AM250" i="9"/>
  <c r="AL5" i="9"/>
  <c r="AL6" i="9"/>
  <c r="AL40" i="9"/>
  <c r="AL159" i="9"/>
  <c r="AL356" i="9"/>
  <c r="AL28" i="9"/>
  <c r="AL7" i="9"/>
  <c r="AL232" i="9"/>
  <c r="AN232" i="9" s="1"/>
  <c r="AL245" i="9"/>
  <c r="AL15" i="9"/>
  <c r="AL34" i="9"/>
  <c r="AL112" i="9"/>
  <c r="AL89" i="9"/>
  <c r="AL38" i="9"/>
  <c r="AL141" i="9"/>
  <c r="AL179" i="9"/>
  <c r="AL350" i="9"/>
  <c r="AL104" i="9"/>
  <c r="AL126" i="9"/>
  <c r="AL165" i="9"/>
  <c r="AL69" i="9"/>
  <c r="AL111" i="9"/>
  <c r="AL142" i="9"/>
  <c r="AL93" i="9"/>
  <c r="AL56" i="9"/>
  <c r="AL211" i="9"/>
  <c r="AL45" i="9"/>
  <c r="AL228" i="9"/>
  <c r="AL229" i="9"/>
  <c r="AL319" i="9"/>
  <c r="AL240" i="9"/>
  <c r="AL275" i="9"/>
  <c r="AL284" i="9"/>
  <c r="AL206" i="9"/>
  <c r="AL315" i="9"/>
  <c r="AL195" i="9"/>
  <c r="AL248" i="9"/>
  <c r="AL185" i="9"/>
  <c r="AL288" i="9"/>
  <c r="AL305" i="9"/>
  <c r="AL219" i="9"/>
  <c r="AL161" i="9"/>
  <c r="AL304" i="9"/>
  <c r="AL120" i="9"/>
  <c r="AL212" i="9"/>
  <c r="AL24" i="9"/>
  <c r="AL200" i="9"/>
  <c r="AN200" i="9" s="1"/>
  <c r="AL201" i="9"/>
  <c r="AL300" i="9"/>
  <c r="AL80" i="9"/>
  <c r="AL78" i="9"/>
  <c r="AL183" i="9"/>
  <c r="AL196" i="9"/>
  <c r="AL242" i="9"/>
  <c r="AL283" i="9"/>
  <c r="AL11" i="9"/>
  <c r="AL43" i="9"/>
  <c r="AL25" i="9"/>
  <c r="AL74" i="9"/>
  <c r="AL116" i="9"/>
  <c r="AL90" i="9"/>
  <c r="AL160" i="9"/>
  <c r="AL9" i="9"/>
  <c r="AL10" i="9"/>
  <c r="AL188" i="9"/>
  <c r="AL109" i="9"/>
  <c r="AL347" i="9"/>
  <c r="AL171" i="9"/>
  <c r="AL289" i="9"/>
  <c r="AL85" i="9"/>
  <c r="AL22" i="9"/>
  <c r="AL299" i="9"/>
  <c r="AL21" i="9"/>
  <c r="AL84" i="9"/>
  <c r="AL254" i="9"/>
  <c r="AL166" i="9"/>
  <c r="AL32" i="9"/>
  <c r="AL36" i="9"/>
  <c r="AL70" i="9"/>
  <c r="AL199" i="9"/>
  <c r="AL46" i="9"/>
  <c r="AL352" i="9"/>
  <c r="AL155" i="9"/>
  <c r="AL192" i="9"/>
  <c r="AL8" i="9"/>
  <c r="AL110" i="9"/>
  <c r="AL87" i="9"/>
  <c r="AL222" i="9"/>
  <c r="AL214" i="9"/>
  <c r="AL129" i="9"/>
  <c r="AN129" i="9" s="1"/>
  <c r="AL343" i="9"/>
  <c r="AL358" i="9"/>
  <c r="AL180" i="9"/>
  <c r="AL153" i="9"/>
  <c r="AL328" i="9"/>
  <c r="AL341" i="9"/>
  <c r="AL169" i="9"/>
  <c r="AL13" i="9"/>
  <c r="AL12" i="9"/>
  <c r="AL44" i="9"/>
  <c r="AL259" i="9"/>
  <c r="AL265" i="9"/>
  <c r="AL158" i="9"/>
  <c r="AL102" i="9"/>
  <c r="AL272" i="9"/>
  <c r="AL202" i="9"/>
  <c r="AL75" i="9"/>
  <c r="AL124" i="9"/>
  <c r="AL187" i="9"/>
  <c r="AL143" i="9"/>
  <c r="AL145" i="9"/>
  <c r="AL243" i="9"/>
  <c r="AL190" i="9"/>
  <c r="AL255" i="9"/>
  <c r="AL182" i="9"/>
  <c r="AN182" i="9" s="1"/>
  <c r="AL256" i="9"/>
  <c r="AL252" i="9"/>
  <c r="AL207" i="9"/>
  <c r="AL208" i="9"/>
  <c r="AL230" i="9"/>
  <c r="AL247" i="9"/>
  <c r="AL234" i="9"/>
  <c r="AL221" i="9"/>
  <c r="AL290" i="9"/>
  <c r="AL64" i="9"/>
  <c r="AL246" i="9"/>
  <c r="AL270" i="9"/>
  <c r="AL176" i="9"/>
  <c r="AL167" i="9"/>
  <c r="AL225" i="9"/>
  <c r="AL334" i="9"/>
  <c r="AL298" i="9"/>
  <c r="AL287" i="9"/>
  <c r="AL267" i="9"/>
  <c r="AL184" i="9"/>
  <c r="AL261" i="9"/>
  <c r="AL233" i="9"/>
  <c r="AL237" i="9"/>
  <c r="AL301" i="9"/>
  <c r="AL327" i="9"/>
  <c r="AL148" i="9"/>
  <c r="AL140" i="9"/>
  <c r="AL63" i="9"/>
  <c r="AL223" i="9"/>
  <c r="AL76" i="9"/>
  <c r="AL154" i="9"/>
  <c r="AL279" i="9"/>
  <c r="AL296" i="9"/>
  <c r="AL73" i="9"/>
  <c r="AL31" i="9"/>
  <c r="AL52" i="9"/>
  <c r="AL177" i="9"/>
  <c r="AL149" i="9"/>
  <c r="AL213" i="9"/>
  <c r="AL162" i="9"/>
  <c r="AL27" i="9"/>
  <c r="AL302" i="9"/>
  <c r="AL23" i="9"/>
  <c r="AL325" i="9"/>
  <c r="AN325" i="9" s="1"/>
  <c r="AL220" i="9"/>
  <c r="AL231" i="9"/>
  <c r="AN231" i="9" s="1"/>
  <c r="AL100" i="9"/>
  <c r="AL209" i="9"/>
  <c r="AL67" i="9"/>
  <c r="AL326" i="9"/>
  <c r="AL137" i="9"/>
  <c r="AL157" i="9"/>
  <c r="AL118" i="9"/>
  <c r="AL251" i="9"/>
  <c r="AN251" i="9" s="1"/>
  <c r="AL97" i="9"/>
  <c r="AL178" i="9"/>
  <c r="AL318" i="9"/>
  <c r="AL150" i="9"/>
  <c r="AL215" i="9"/>
  <c r="AL277" i="9"/>
  <c r="AL266" i="9"/>
  <c r="AL269" i="9"/>
  <c r="AL311" i="9"/>
  <c r="AL168" i="9"/>
  <c r="AL131" i="9"/>
  <c r="AL172" i="9"/>
  <c r="AL57" i="9"/>
  <c r="AL122" i="9"/>
  <c r="AL68" i="9"/>
  <c r="AL313" i="9"/>
  <c r="AL285" i="9"/>
  <c r="AL320" i="9"/>
  <c r="AL276" i="9"/>
  <c r="AL186" i="9"/>
  <c r="AL181" i="9"/>
  <c r="AL51" i="9"/>
  <c r="AL62" i="9"/>
  <c r="AL92" i="9"/>
  <c r="AL60" i="9"/>
  <c r="AL14" i="9"/>
  <c r="AL33" i="9"/>
  <c r="AL17" i="9"/>
  <c r="AL55" i="9"/>
  <c r="AL18" i="9"/>
  <c r="AL133" i="9"/>
  <c r="AL264" i="9"/>
  <c r="AL295" i="9"/>
  <c r="AL139" i="9"/>
  <c r="AL198" i="9"/>
  <c r="AL16" i="9"/>
  <c r="AL224" i="9"/>
  <c r="AL241" i="9"/>
  <c r="AN241" i="9" s="1"/>
  <c r="AL218" i="9"/>
  <c r="AL83" i="9"/>
  <c r="AL134" i="9"/>
  <c r="AN134" i="9" s="1"/>
  <c r="AL130" i="9"/>
  <c r="AN130" i="9" s="1"/>
  <c r="AL191" i="9"/>
  <c r="AL163" i="9"/>
  <c r="AL77" i="9"/>
  <c r="AL19" i="9"/>
  <c r="AL292" i="9"/>
  <c r="AL194" i="9"/>
  <c r="AL278" i="9"/>
  <c r="AL136" i="9"/>
  <c r="AL135" i="9"/>
  <c r="AL127" i="9"/>
  <c r="AL107" i="9"/>
  <c r="AL317" i="9"/>
  <c r="AL268" i="9"/>
  <c r="AL210" i="9"/>
  <c r="AL138" i="9"/>
  <c r="AL113" i="9"/>
  <c r="AL117" i="9"/>
  <c r="AL164" i="9"/>
  <c r="AL235" i="9"/>
  <c r="AL20" i="9"/>
  <c r="AL54" i="9"/>
  <c r="AL108" i="9"/>
  <c r="AL42" i="9"/>
  <c r="AL30" i="9"/>
  <c r="AL99" i="9"/>
  <c r="AL29" i="9"/>
  <c r="AL144" i="9"/>
  <c r="AL88" i="9"/>
  <c r="AL323" i="9"/>
  <c r="AL26" i="9"/>
  <c r="AL205" i="9"/>
  <c r="AL170" i="9"/>
  <c r="AL35" i="9"/>
  <c r="AL98" i="9"/>
  <c r="AL262" i="9"/>
  <c r="AL82" i="9"/>
  <c r="AL91" i="9"/>
  <c r="AL152" i="9"/>
  <c r="AL346" i="9"/>
  <c r="AL226" i="9"/>
  <c r="AL94" i="9"/>
  <c r="AL39" i="9"/>
  <c r="AL103" i="9"/>
  <c r="AL306" i="9"/>
  <c r="AL173" i="9"/>
  <c r="AL253" i="9"/>
  <c r="AL351" i="9"/>
  <c r="AL238" i="9"/>
  <c r="AN238" i="9" s="1"/>
  <c r="AL263" i="9"/>
  <c r="AL293" i="9"/>
  <c r="AL281" i="9"/>
  <c r="AL257" i="9"/>
  <c r="AL310" i="9"/>
  <c r="AL41" i="9"/>
  <c r="AL50" i="9"/>
  <c r="AL294" i="9"/>
  <c r="AL335" i="9"/>
  <c r="AL308" i="9"/>
  <c r="AL47" i="9"/>
  <c r="AL146" i="9"/>
  <c r="AL105" i="9"/>
  <c r="AL53" i="9"/>
  <c r="AL61" i="9"/>
  <c r="AL59" i="9"/>
  <c r="AL244" i="9"/>
  <c r="AL340" i="9"/>
  <c r="AL156" i="9"/>
  <c r="AL49" i="9"/>
  <c r="AL260" i="9"/>
  <c r="AL115" i="9"/>
  <c r="AL189" i="9"/>
  <c r="AL353" i="9"/>
  <c r="AL271" i="9"/>
  <c r="AL329" i="9"/>
  <c r="AL239" i="9"/>
  <c r="AL65" i="9"/>
  <c r="AL58" i="9"/>
  <c r="AL37" i="9"/>
  <c r="AL175" i="9"/>
  <c r="AN175" i="9" s="1"/>
  <c r="AL71" i="9"/>
  <c r="AN71" i="9" s="1"/>
  <c r="AL66" i="9"/>
  <c r="AL303" i="9"/>
  <c r="AL81" i="9"/>
  <c r="AL227" i="9"/>
  <c r="AL125" i="9"/>
  <c r="AL355" i="9"/>
  <c r="AL193" i="9"/>
  <c r="AL250" i="9"/>
  <c r="AL286" i="9"/>
  <c r="AL128" i="9"/>
  <c r="AL282" i="9"/>
  <c r="AL79" i="9"/>
  <c r="AL121" i="9"/>
  <c r="AL48" i="9"/>
  <c r="AL151" i="9"/>
  <c r="AL72" i="9"/>
  <c r="AL216" i="9"/>
  <c r="AL203" i="9"/>
  <c r="AL204" i="9"/>
  <c r="AL273" i="9"/>
  <c r="AL297" i="9"/>
  <c r="AL101" i="9"/>
  <c r="AL291" i="9"/>
  <c r="AL314" i="9"/>
  <c r="AL123" i="9"/>
  <c r="AL309" i="9"/>
  <c r="AL86" i="9"/>
  <c r="AL312" i="9"/>
  <c r="AL217" i="9"/>
  <c r="AL95" i="9"/>
  <c r="AL96" i="9"/>
  <c r="AL258" i="9"/>
  <c r="AL321" i="9"/>
  <c r="AL119" i="9"/>
  <c r="AL174" i="9"/>
  <c r="AL114" i="9"/>
  <c r="AL322" i="9"/>
  <c r="AL132" i="9"/>
  <c r="AL324" i="9"/>
  <c r="AL338" i="9"/>
  <c r="AL106" i="9"/>
  <c r="AL236" i="9"/>
  <c r="AL307" i="9"/>
  <c r="AL147" i="9"/>
  <c r="AL330" i="9"/>
  <c r="AL249" i="9"/>
  <c r="AL316" i="9"/>
  <c r="AL197" i="9"/>
  <c r="AL274" i="9"/>
  <c r="AL332" i="9"/>
  <c r="AL336" i="9"/>
  <c r="AL333" i="9"/>
  <c r="AL349" i="9"/>
  <c r="AL331" i="9"/>
  <c r="AL348" i="9"/>
  <c r="AL342" i="9"/>
  <c r="AL337" i="9"/>
  <c r="AL339" i="9"/>
  <c r="AL354" i="9"/>
  <c r="AL357" i="9"/>
  <c r="AL344" i="9"/>
  <c r="AL345" i="9"/>
  <c r="AL280" i="9"/>
  <c r="AQ229" i="9"/>
  <c r="AQ232" i="9"/>
  <c r="AQ240" i="9"/>
  <c r="AQ98" i="9"/>
  <c r="AQ143" i="9"/>
  <c r="AQ293" i="9"/>
  <c r="AQ47" i="9"/>
  <c r="AQ186" i="9"/>
  <c r="AQ306" i="9"/>
  <c r="AQ251" i="9"/>
  <c r="AA2" i="9"/>
  <c r="AA242" i="9" s="1"/>
  <c r="G18" i="8"/>
  <c r="G15" i="8"/>
  <c r="G12" i="8"/>
  <c r="G23" i="8"/>
  <c r="G24" i="8"/>
  <c r="G19" i="8"/>
  <c r="G13" i="8"/>
  <c r="G22" i="8"/>
  <c r="G21" i="8"/>
  <c r="G20" i="8"/>
  <c r="G25" i="8"/>
  <c r="G27" i="8"/>
  <c r="G26" i="8"/>
  <c r="G28" i="8"/>
  <c r="G3" i="8"/>
  <c r="G4" i="8"/>
  <c r="G5" i="8"/>
  <c r="G9" i="8"/>
  <c r="G10" i="8"/>
  <c r="G6" i="8"/>
  <c r="G7" i="8"/>
  <c r="G11" i="8"/>
  <c r="G8" i="8"/>
  <c r="G14" i="8"/>
  <c r="G17" i="8"/>
  <c r="G16" i="8"/>
  <c r="G2" i="8"/>
  <c r="AN323" i="9" l="1"/>
  <c r="AQ171" i="9"/>
  <c r="AQ292" i="9"/>
  <c r="AQ281" i="9"/>
  <c r="AQ37" i="9"/>
  <c r="AQ22" i="9"/>
  <c r="AQ76" i="9"/>
  <c r="AQ107" i="9"/>
  <c r="AQ100" i="9"/>
  <c r="AQ207" i="9"/>
  <c r="AQ225" i="9"/>
  <c r="AQ241" i="9"/>
  <c r="AQ61" i="9"/>
  <c r="AQ196" i="9"/>
  <c r="AQ252" i="9"/>
  <c r="AQ167" i="9"/>
  <c r="AQ187" i="9"/>
  <c r="AQ162" i="9"/>
  <c r="AQ179" i="9"/>
  <c r="AQ89" i="9"/>
  <c r="AQ44" i="9"/>
  <c r="AQ7" i="9"/>
  <c r="AQ5" i="9"/>
  <c r="AQ260" i="9"/>
  <c r="AQ118" i="9"/>
  <c r="AQ185" i="9"/>
  <c r="AQ311" i="9"/>
  <c r="AQ259" i="9"/>
  <c r="AQ313" i="9"/>
  <c r="AN259" i="9"/>
  <c r="AQ258" i="9"/>
  <c r="AQ55" i="9"/>
  <c r="AQ268" i="9"/>
  <c r="AQ195" i="9"/>
  <c r="AQ354" i="9"/>
  <c r="AQ33" i="9"/>
  <c r="AN46" i="9"/>
  <c r="AN189" i="9"/>
  <c r="AQ10" i="9"/>
  <c r="AQ249" i="9"/>
  <c r="AQ134" i="9"/>
  <c r="AQ144" i="9"/>
  <c r="AQ60" i="9"/>
  <c r="AQ175" i="9"/>
  <c r="AR175" i="9" s="1"/>
  <c r="AN261" i="9"/>
  <c r="AQ279" i="9"/>
  <c r="AN158" i="9"/>
  <c r="AQ212" i="9"/>
  <c r="AQ231" i="9"/>
  <c r="AQ181" i="9"/>
  <c r="AN344" i="9"/>
  <c r="AQ188" i="9"/>
  <c r="AN179" i="9"/>
  <c r="AN285" i="9"/>
  <c r="AN202" i="9"/>
  <c r="AN352" i="9"/>
  <c r="AN110" i="9"/>
  <c r="AQ287" i="9"/>
  <c r="AQ337" i="9"/>
  <c r="AQ218" i="9"/>
  <c r="AQ201" i="9"/>
  <c r="AQ297" i="9"/>
  <c r="AQ289" i="9"/>
  <c r="AQ284" i="9"/>
  <c r="AQ298" i="9"/>
  <c r="AQ246" i="9"/>
  <c r="AQ302" i="9"/>
  <c r="AQ32" i="9"/>
  <c r="AQ164" i="9"/>
  <c r="AQ66" i="9"/>
  <c r="AQ322" i="9"/>
  <c r="AQ101" i="9"/>
  <c r="AQ81" i="9"/>
  <c r="AQ36" i="9"/>
  <c r="AQ290" i="9"/>
  <c r="AQ312" i="9"/>
  <c r="AQ277" i="9"/>
  <c r="AQ234" i="9"/>
  <c r="AQ256" i="9"/>
  <c r="AQ87" i="9"/>
  <c r="AQ155" i="9"/>
  <c r="AQ146" i="9"/>
  <c r="AQ43" i="9"/>
  <c r="AQ358" i="9"/>
  <c r="AQ356" i="9"/>
  <c r="AN165" i="9"/>
  <c r="AN281" i="9"/>
  <c r="AN136" i="9"/>
  <c r="AQ16" i="9"/>
  <c r="AQ19" i="9"/>
  <c r="AQ131" i="9"/>
  <c r="AQ266" i="9"/>
  <c r="AQ272" i="9"/>
  <c r="AQ261" i="9"/>
  <c r="AQ45" i="9"/>
  <c r="AQ202" i="9"/>
  <c r="AQ158" i="9"/>
  <c r="AQ323" i="9"/>
  <c r="AQ28" i="9"/>
  <c r="AN185" i="9"/>
  <c r="AQ317" i="9"/>
  <c r="AQ140" i="9"/>
  <c r="AQ169" i="9"/>
  <c r="AQ275" i="9"/>
  <c r="AQ222" i="9"/>
  <c r="AQ243" i="9"/>
  <c r="AQ178" i="9"/>
  <c r="AQ85" i="9"/>
  <c r="AQ315" i="9"/>
  <c r="AN57" i="9"/>
  <c r="AN242" i="9"/>
  <c r="AN171" i="9"/>
  <c r="AN338" i="9"/>
  <c r="AN100" i="9"/>
  <c r="AN19" i="9"/>
  <c r="AN80" i="9"/>
  <c r="AN269" i="9"/>
  <c r="AN114" i="9"/>
  <c r="AN52" i="9"/>
  <c r="AQ324" i="9"/>
  <c r="AQ20" i="9"/>
  <c r="AN215" i="9"/>
  <c r="AN148" i="9"/>
  <c r="AN108" i="9"/>
  <c r="AN76" i="9"/>
  <c r="AN235" i="9"/>
  <c r="AN107" i="9"/>
  <c r="AN342" i="9"/>
  <c r="AN314" i="9"/>
  <c r="AN250" i="9"/>
  <c r="AN226" i="9"/>
  <c r="AN139" i="9"/>
  <c r="AN88" i="9"/>
  <c r="AN20" i="9"/>
  <c r="AQ109" i="9"/>
  <c r="AQ91" i="9"/>
  <c r="AQ329" i="9"/>
  <c r="AQ191" i="9"/>
  <c r="AQ349" i="9"/>
  <c r="AN307" i="9"/>
  <c r="AQ115" i="9"/>
  <c r="AQ351" i="9"/>
  <c r="AN345" i="9"/>
  <c r="AN26" i="9"/>
  <c r="AN8" i="9"/>
  <c r="AN151" i="9"/>
  <c r="AN205" i="9"/>
  <c r="AN206" i="9"/>
  <c r="AN230" i="9"/>
  <c r="AN121" i="9"/>
  <c r="AN308" i="9"/>
  <c r="AN180" i="9"/>
  <c r="AN59" i="9"/>
  <c r="AN320" i="9"/>
  <c r="AN253" i="9"/>
  <c r="AN21" i="9"/>
  <c r="AN188" i="9"/>
  <c r="AN316" i="9"/>
  <c r="AN61" i="9"/>
  <c r="AN50" i="9"/>
  <c r="AN138" i="9"/>
  <c r="AN234" i="9"/>
  <c r="AN10" i="9"/>
  <c r="AN275" i="9"/>
  <c r="AN174" i="9"/>
  <c r="AN239" i="9"/>
  <c r="AN181" i="9"/>
  <c r="AN236" i="9"/>
  <c r="AN39" i="9"/>
  <c r="AN67" i="9"/>
  <c r="AN265" i="9"/>
  <c r="AN169" i="9"/>
  <c r="AN133" i="9"/>
  <c r="AN163" i="9"/>
  <c r="AN212" i="9"/>
  <c r="AN199" i="9"/>
  <c r="AN11" i="9"/>
  <c r="AN160" i="9"/>
  <c r="AN150" i="9"/>
  <c r="AN196" i="9"/>
  <c r="AN195" i="9"/>
  <c r="AN260" i="9"/>
  <c r="AN127" i="9"/>
  <c r="AN176" i="9"/>
  <c r="AN270" i="9"/>
  <c r="AN309" i="9"/>
  <c r="AN203" i="9"/>
  <c r="AN303" i="9"/>
  <c r="AN317" i="9"/>
  <c r="AN240" i="9"/>
  <c r="AR240" i="9" s="1"/>
  <c r="AN354" i="9"/>
  <c r="AN47" i="9"/>
  <c r="AN55" i="9"/>
  <c r="AN296" i="9"/>
  <c r="AN72" i="9"/>
  <c r="AN30" i="9"/>
  <c r="AN178" i="9"/>
  <c r="AN162" i="9"/>
  <c r="AN75" i="9"/>
  <c r="AN78" i="9"/>
  <c r="AN304" i="9"/>
  <c r="AN40" i="9"/>
  <c r="AR40" i="9" s="1"/>
  <c r="AN140" i="9"/>
  <c r="AN218" i="9"/>
  <c r="AN219" i="9"/>
  <c r="AN186" i="9"/>
  <c r="AN143" i="9"/>
  <c r="AN154" i="9"/>
  <c r="AN341" i="9"/>
  <c r="AN6" i="9"/>
  <c r="AN244" i="9"/>
  <c r="AN170" i="9"/>
  <c r="AN334" i="9"/>
  <c r="AN45" i="9"/>
  <c r="AN272" i="9"/>
  <c r="AN300" i="9"/>
  <c r="AN109" i="9"/>
  <c r="AN292" i="9"/>
  <c r="AN83" i="9"/>
  <c r="AN333" i="9"/>
  <c r="AN18" i="9"/>
  <c r="AN91" i="9"/>
  <c r="AN329" i="9"/>
  <c r="AN119" i="9"/>
  <c r="AQ106" i="9"/>
  <c r="AQ121" i="9"/>
  <c r="AQ257" i="9"/>
  <c r="AQ53" i="9"/>
  <c r="AQ193" i="9"/>
  <c r="AQ24" i="9"/>
  <c r="AQ295" i="9"/>
  <c r="AQ80" i="9"/>
  <c r="AQ92" i="9"/>
  <c r="AQ120" i="9"/>
  <c r="AQ288" i="9"/>
  <c r="AQ301" i="9"/>
  <c r="AQ228" i="9"/>
  <c r="AQ68" i="9"/>
  <c r="AQ124" i="9"/>
  <c r="AQ112" i="9"/>
  <c r="AQ12" i="9"/>
  <c r="AQ347" i="9"/>
  <c r="AQ340" i="9"/>
  <c r="AQ170" i="9"/>
  <c r="AQ113" i="9"/>
  <c r="AQ168" i="9"/>
  <c r="AQ300" i="9"/>
  <c r="AN9" i="9"/>
  <c r="AQ79" i="9"/>
  <c r="AQ21" i="9"/>
  <c r="AQ82" i="9"/>
  <c r="AQ71" i="9"/>
  <c r="AN156" i="9"/>
  <c r="AN224" i="9"/>
  <c r="AN173" i="9"/>
  <c r="AN41" i="9"/>
  <c r="AN103" i="9"/>
  <c r="AN257" i="9"/>
  <c r="AN17" i="9"/>
  <c r="AN24" i="9"/>
  <c r="AN295" i="9"/>
  <c r="AN194" i="9"/>
  <c r="AN288" i="9"/>
  <c r="AN172" i="9"/>
  <c r="AN68" i="9"/>
  <c r="AN221" i="9"/>
  <c r="AN70" i="9"/>
  <c r="AN124" i="9"/>
  <c r="AN137" i="9"/>
  <c r="AN112" i="9"/>
  <c r="AN56" i="9"/>
  <c r="AQ203" i="9"/>
  <c r="AQ216" i="9"/>
  <c r="AN332" i="9"/>
  <c r="AN210" i="9"/>
  <c r="AN65" i="9"/>
  <c r="AQ250" i="9"/>
  <c r="AQ314" i="9"/>
  <c r="AQ353" i="9"/>
  <c r="AN14" i="9"/>
  <c r="AN79" i="9"/>
  <c r="AN81" i="9"/>
  <c r="AN264" i="9"/>
  <c r="AN157" i="9"/>
  <c r="AN283" i="9"/>
  <c r="AN255" i="9"/>
  <c r="AN357" i="9"/>
  <c r="AN87" i="9"/>
  <c r="AN90" i="9"/>
  <c r="AN356" i="9"/>
  <c r="AQ253" i="9"/>
  <c r="AQ50" i="9"/>
  <c r="AN331" i="9"/>
  <c r="AN197" i="9"/>
  <c r="AN53" i="9"/>
  <c r="AN355" i="9"/>
  <c r="AN291" i="9"/>
  <c r="AN249" i="9"/>
  <c r="AN273" i="9"/>
  <c r="AN246" i="9"/>
  <c r="AN287" i="9"/>
  <c r="AN102" i="9"/>
  <c r="AN217" i="9"/>
  <c r="AN93" i="9"/>
  <c r="AN310" i="9"/>
  <c r="AN297" i="9"/>
  <c r="AQ333" i="9"/>
  <c r="AQ273" i="9"/>
  <c r="AQ303" i="9"/>
  <c r="AQ198" i="9"/>
  <c r="AQ325" i="9"/>
  <c r="AQ280" i="9"/>
  <c r="AQ339" i="9"/>
  <c r="AQ352" i="9"/>
  <c r="AQ227" i="9"/>
  <c r="AQ148" i="9"/>
  <c r="AQ254" i="9"/>
  <c r="AQ173" i="9"/>
  <c r="AQ86" i="9"/>
  <c r="AQ335" i="9"/>
  <c r="AQ73" i="9"/>
  <c r="AQ122" i="9"/>
  <c r="AQ88" i="9"/>
  <c r="AQ97" i="9"/>
  <c r="AQ119" i="9"/>
  <c r="AQ211" i="9"/>
  <c r="AQ267" i="9"/>
  <c r="AQ286" i="9"/>
  <c r="AQ269" i="9"/>
  <c r="AQ328" i="9"/>
  <c r="AQ204" i="9"/>
  <c r="AQ151" i="9"/>
  <c r="AQ157" i="9"/>
  <c r="AQ332" i="9"/>
  <c r="AQ96" i="9"/>
  <c r="AQ128" i="9"/>
  <c r="AQ161" i="9"/>
  <c r="AQ209" i="9"/>
  <c r="AQ65" i="9"/>
  <c r="AQ123" i="9"/>
  <c r="AQ90" i="9"/>
  <c r="AQ18" i="9"/>
  <c r="AQ224" i="9"/>
  <c r="AQ30" i="9"/>
  <c r="AQ220" i="9"/>
  <c r="AQ67" i="9"/>
  <c r="AQ310" i="9"/>
  <c r="AQ62" i="9"/>
  <c r="AQ70" i="9"/>
  <c r="AQ42" i="9"/>
  <c r="AQ74" i="9"/>
  <c r="AQ34" i="9"/>
  <c r="AQ245" i="9"/>
  <c r="AQ223" i="9"/>
  <c r="AQ208" i="9"/>
  <c r="AQ153" i="9"/>
  <c r="AQ25" i="9"/>
  <c r="AQ69" i="9"/>
  <c r="AQ307" i="9"/>
  <c r="AQ226" i="9"/>
  <c r="AQ177" i="9"/>
  <c r="AQ345" i="9"/>
  <c r="AQ138" i="9"/>
  <c r="AQ264" i="9"/>
  <c r="AQ154" i="9"/>
  <c r="AQ342" i="9"/>
  <c r="AQ197" i="9"/>
  <c r="AQ265" i="9"/>
  <c r="AQ270" i="9"/>
  <c r="AR270" i="9" s="1"/>
  <c r="AQ35" i="9"/>
  <c r="AQ278" i="9"/>
  <c r="AN106" i="9"/>
  <c r="AN321" i="9"/>
  <c r="AN123" i="9"/>
  <c r="AN216" i="9"/>
  <c r="AN286" i="9"/>
  <c r="AN66" i="9"/>
  <c r="AN35" i="9"/>
  <c r="AN99" i="9"/>
  <c r="AN135" i="9"/>
  <c r="AN198" i="9"/>
  <c r="AN33" i="9"/>
  <c r="AN209" i="9"/>
  <c r="AN27" i="9"/>
  <c r="AN31" i="9"/>
  <c r="AN290" i="9"/>
  <c r="AN343" i="9"/>
  <c r="AN183" i="9"/>
  <c r="AN120" i="9"/>
  <c r="AN228" i="9"/>
  <c r="AN69" i="9"/>
  <c r="AN159" i="9"/>
  <c r="AN5" i="9"/>
  <c r="AN284" i="9"/>
  <c r="AN34" i="9"/>
  <c r="AN280" i="9"/>
  <c r="AN63" i="9"/>
  <c r="AN7" i="9"/>
  <c r="AR7" i="9" s="1"/>
  <c r="AN336" i="9"/>
  <c r="AN132" i="9"/>
  <c r="AN191" i="9"/>
  <c r="AN145" i="9"/>
  <c r="AN324" i="9"/>
  <c r="AN229" i="9"/>
  <c r="AN351" i="9"/>
  <c r="AN155" i="9"/>
  <c r="AN184" i="9"/>
  <c r="AN271" i="9"/>
  <c r="AN98" i="9"/>
  <c r="AN299" i="9"/>
  <c r="AN111" i="9"/>
  <c r="AN85" i="9"/>
  <c r="AN164" i="9"/>
  <c r="AN15" i="9"/>
  <c r="AN276" i="9"/>
  <c r="AN113" i="9"/>
  <c r="AN289" i="9"/>
  <c r="AN168" i="9"/>
  <c r="AN346" i="9"/>
  <c r="AN223" i="9"/>
  <c r="AN306" i="9"/>
  <c r="AN153" i="9"/>
  <c r="AN256" i="9"/>
  <c r="AN353" i="9"/>
  <c r="AN101" i="9"/>
  <c r="AN266" i="9"/>
  <c r="AN267" i="9"/>
  <c r="AN298" i="9"/>
  <c r="AN94" i="9"/>
  <c r="AN51" i="9"/>
  <c r="AN32" i="9"/>
  <c r="AN95" i="9"/>
  <c r="AN263" i="9"/>
  <c r="AN92" i="9"/>
  <c r="AN190" i="9"/>
  <c r="AN122" i="9"/>
  <c r="AN237" i="9"/>
  <c r="AN146" i="9"/>
  <c r="AN318" i="9"/>
  <c r="AN82" i="9"/>
  <c r="AN247" i="9"/>
  <c r="AN118" i="9"/>
  <c r="AQ316" i="9"/>
  <c r="AQ282" i="9"/>
  <c r="AQ263" i="9"/>
  <c r="AQ236" i="9"/>
  <c r="AQ213" i="9"/>
  <c r="AQ341" i="9"/>
  <c r="AQ156" i="9"/>
  <c r="AQ344" i="9"/>
  <c r="AQ350" i="9"/>
  <c r="AQ318" i="9"/>
  <c r="AQ139" i="9"/>
  <c r="AQ133" i="9"/>
  <c r="AQ206" i="9"/>
  <c r="AQ132" i="9"/>
  <c r="AQ320" i="9"/>
  <c r="AQ205" i="9"/>
  <c r="AQ184" i="9"/>
  <c r="AQ309" i="9"/>
  <c r="AQ343" i="9"/>
  <c r="AQ338" i="9"/>
  <c r="AQ125" i="9"/>
  <c r="AQ64" i="9"/>
  <c r="AQ136" i="9"/>
  <c r="AQ78" i="9"/>
  <c r="AQ102" i="9"/>
  <c r="AQ41" i="9"/>
  <c r="AQ46" i="9"/>
  <c r="AR46" i="9" s="1"/>
  <c r="AQ94" i="9"/>
  <c r="AQ294" i="9"/>
  <c r="AQ305" i="9"/>
  <c r="AQ51" i="9"/>
  <c r="AQ17" i="9"/>
  <c r="AQ27" i="9"/>
  <c r="AQ23" i="9"/>
  <c r="AQ129" i="9"/>
  <c r="AQ126" i="9"/>
  <c r="AQ221" i="9"/>
  <c r="AQ56" i="9"/>
  <c r="AQ285" i="9"/>
  <c r="AQ242" i="9"/>
  <c r="AQ214" i="9"/>
  <c r="AQ104" i="9"/>
  <c r="AQ304" i="9"/>
  <c r="AQ93" i="9"/>
  <c r="AN36" i="9"/>
  <c r="AN131" i="9"/>
  <c r="AN13" i="9"/>
  <c r="AN214" i="9"/>
  <c r="AN222" i="9"/>
  <c r="AN335" i="9"/>
  <c r="AN204" i="9"/>
  <c r="AN166" i="9"/>
  <c r="AN220" i="9"/>
  <c r="AN147" i="9"/>
  <c r="AN225" i="9"/>
  <c r="AN177" i="9"/>
  <c r="AN201" i="9"/>
  <c r="AN97" i="9"/>
  <c r="AN305" i="9"/>
  <c r="AN86" i="9"/>
  <c r="AN43" i="9"/>
  <c r="AN126" i="9"/>
  <c r="AN89" i="9"/>
  <c r="AN282" i="9"/>
  <c r="AN278" i="9"/>
  <c r="AN60" i="9"/>
  <c r="AN330" i="9"/>
  <c r="AN62" i="9"/>
  <c r="AN258" i="9"/>
  <c r="AN340" i="9"/>
  <c r="AN49" i="9"/>
  <c r="AN16" i="9"/>
  <c r="AN327" i="9"/>
  <c r="AN54" i="9"/>
  <c r="AN144" i="9"/>
  <c r="AN213" i="9"/>
  <c r="AN313" i="9"/>
  <c r="AN322" i="9"/>
  <c r="AN358" i="9"/>
  <c r="AN350" i="9"/>
  <c r="AN262" i="9"/>
  <c r="AN29" i="9"/>
  <c r="AN207" i="9"/>
  <c r="AN167" i="9"/>
  <c r="AN161" i="9"/>
  <c r="AQ357" i="9"/>
  <c r="AQ291" i="9"/>
  <c r="AR291" i="9" s="1"/>
  <c r="AQ244" i="9"/>
  <c r="AQ346" i="9"/>
  <c r="AQ326" i="9"/>
  <c r="AQ334" i="9"/>
  <c r="AR334" i="9" s="1"/>
  <c r="AQ152" i="9"/>
  <c r="AQ200" i="9"/>
  <c r="AQ331" i="9"/>
  <c r="AQ130" i="9"/>
  <c r="AR130" i="9" s="1"/>
  <c r="AQ276" i="9"/>
  <c r="AQ172" i="9"/>
  <c r="AQ348" i="9"/>
  <c r="AQ336" i="9"/>
  <c r="AQ330" i="9"/>
  <c r="AQ174" i="9"/>
  <c r="AQ127" i="9"/>
  <c r="AQ105" i="9"/>
  <c r="AQ95" i="9"/>
  <c r="AQ83" i="9"/>
  <c r="AR83" i="9" s="1"/>
  <c r="AQ327" i="9"/>
  <c r="AQ271" i="9"/>
  <c r="AQ262" i="9"/>
  <c r="AQ58" i="9"/>
  <c r="AQ49" i="9"/>
  <c r="AQ299" i="9"/>
  <c r="AQ39" i="9"/>
  <c r="AQ235" i="9"/>
  <c r="AQ194" i="9"/>
  <c r="AQ29" i="9"/>
  <c r="AQ54" i="9"/>
  <c r="AQ210" i="9"/>
  <c r="AQ99" i="9"/>
  <c r="AQ14" i="9"/>
  <c r="AQ57" i="9"/>
  <c r="AQ84" i="9"/>
  <c r="AQ111" i="9"/>
  <c r="AQ13" i="9"/>
  <c r="AQ160" i="9"/>
  <c r="AQ137" i="9"/>
  <c r="AQ319" i="9"/>
  <c r="AQ190" i="9"/>
  <c r="AQ8" i="9"/>
  <c r="AQ248" i="9"/>
  <c r="AQ6" i="9"/>
  <c r="AN192" i="9"/>
  <c r="AN279" i="9"/>
  <c r="AN152" i="9"/>
  <c r="AN328" i="9"/>
  <c r="AN349" i="9"/>
  <c r="AN227" i="9"/>
  <c r="AN187" i="9"/>
  <c r="AN37" i="9"/>
  <c r="AR37" i="9" s="1"/>
  <c r="AN42" i="9"/>
  <c r="AN117" i="9"/>
  <c r="AN104" i="9"/>
  <c r="AN193" i="9"/>
  <c r="AN248" i="9"/>
  <c r="AN339" i="9"/>
  <c r="AN252" i="9"/>
  <c r="AN22" i="9"/>
  <c r="AN301" i="9"/>
  <c r="AN44" i="9"/>
  <c r="AN96" i="9"/>
  <c r="AN74" i="9"/>
  <c r="AN312" i="9"/>
  <c r="AN73" i="9"/>
  <c r="AN277" i="9"/>
  <c r="AN293" i="9"/>
  <c r="AN116" i="9"/>
  <c r="AN302" i="9"/>
  <c r="AN12" i="9"/>
  <c r="AN28" i="9"/>
  <c r="AN348" i="9"/>
  <c r="AN84" i="9"/>
  <c r="AN115" i="9"/>
  <c r="AN326" i="9"/>
  <c r="AN77" i="9"/>
  <c r="AN319" i="9"/>
  <c r="AN58" i="9"/>
  <c r="AR58" i="9" s="1"/>
  <c r="AN48" i="9"/>
  <c r="AN347" i="9"/>
  <c r="AN64" i="9"/>
  <c r="AN337" i="9"/>
  <c r="AN315" i="9"/>
  <c r="AN274" i="9"/>
  <c r="AN243" i="9"/>
  <c r="AN125" i="9"/>
  <c r="AN128" i="9"/>
  <c r="AN233" i="9"/>
  <c r="AN254" i="9"/>
  <c r="AN245" i="9"/>
  <c r="AN142" i="9"/>
  <c r="AQ321" i="9"/>
  <c r="AQ239" i="9"/>
  <c r="AQ274" i="9"/>
  <c r="AQ215" i="9"/>
  <c r="AQ355" i="9"/>
  <c r="AN268" i="9"/>
  <c r="AN208" i="9"/>
  <c r="AN294" i="9"/>
  <c r="AN149" i="9"/>
  <c r="AN23" i="9"/>
  <c r="AN38" i="9"/>
  <c r="AN311" i="9"/>
  <c r="AN105" i="9"/>
  <c r="AN25" i="9"/>
  <c r="AN141" i="9"/>
  <c r="AN211" i="9"/>
  <c r="AQ192" i="9"/>
  <c r="AQ183" i="9"/>
  <c r="AQ217" i="9"/>
  <c r="AR217" i="9" s="1"/>
  <c r="AQ219" i="9"/>
  <c r="AQ150" i="9"/>
  <c r="AQ176" i="9"/>
  <c r="AQ103" i="9"/>
  <c r="AQ135" i="9"/>
  <c r="AR135" i="9" s="1"/>
  <c r="AQ163" i="9"/>
  <c r="AQ147" i="9"/>
  <c r="AQ189" i="9"/>
  <c r="AQ247" i="9"/>
  <c r="AQ114" i="9"/>
  <c r="AQ159" i="9"/>
  <c r="AQ72" i="9"/>
  <c r="AQ75" i="9"/>
  <c r="AQ238" i="9"/>
  <c r="AR238" i="9" s="1"/>
  <c r="AQ108" i="9"/>
  <c r="AQ110" i="9"/>
  <c r="AQ59" i="9"/>
  <c r="AQ145" i="9"/>
  <c r="AQ26" i="9"/>
  <c r="AQ117" i="9"/>
  <c r="AQ308" i="9"/>
  <c r="AQ283" i="9"/>
  <c r="AQ31" i="9"/>
  <c r="AQ116" i="9"/>
  <c r="AQ149" i="9"/>
  <c r="AQ230" i="9"/>
  <c r="AQ52" i="9"/>
  <c r="AQ255" i="9"/>
  <c r="AQ142" i="9"/>
  <c r="AQ165" i="9"/>
  <c r="AQ9" i="9"/>
  <c r="AQ237" i="9"/>
  <c r="AQ182" i="9"/>
  <c r="AR182" i="9" s="1"/>
  <c r="AQ180" i="9"/>
  <c r="AQ11" i="9"/>
  <c r="AQ15" i="9"/>
  <c r="AR170" i="9"/>
  <c r="AI137" i="9"/>
  <c r="AA137" i="9"/>
  <c r="AH137" i="9"/>
  <c r="AE137" i="9"/>
  <c r="AD137" i="9"/>
  <c r="AF137" i="9"/>
  <c r="AB137" i="9"/>
  <c r="AJ137" i="9"/>
  <c r="Z137" i="9"/>
  <c r="AE232" i="9"/>
  <c r="AH61" i="9"/>
  <c r="AE160" i="9"/>
  <c r="AH232" i="9"/>
  <c r="AI330" i="9"/>
  <c r="AF61" i="9"/>
  <c r="Z160" i="9"/>
  <c r="AF232" i="9"/>
  <c r="AH330" i="9"/>
  <c r="AB61" i="9"/>
  <c r="AJ296" i="9"/>
  <c r="AI358" i="9"/>
  <c r="AF296" i="9"/>
  <c r="AD232" i="9"/>
  <c r="AE330" i="9"/>
  <c r="AF330" i="9"/>
  <c r="AH358" i="9"/>
  <c r="AA296" i="9"/>
  <c r="AB232" i="9"/>
  <c r="AD330" i="9"/>
  <c r="AD358" i="9"/>
  <c r="Z296" i="9"/>
  <c r="AA232" i="9"/>
  <c r="AB330" i="9"/>
  <c r="AJ258" i="9"/>
  <c r="AJ160" i="9"/>
  <c r="AJ232" i="9"/>
  <c r="Z232" i="9"/>
  <c r="AA330" i="9"/>
  <c r="AI160" i="9"/>
  <c r="AI232" i="9"/>
  <c r="AJ330" i="9"/>
  <c r="Z330" i="9"/>
  <c r="AE61" i="9"/>
  <c r="AF358" i="9"/>
  <c r="AH160" i="9"/>
  <c r="AI296" i="9"/>
  <c r="AD61" i="9"/>
  <c r="AE358" i="9"/>
  <c r="AF160" i="9"/>
  <c r="AH296" i="9"/>
  <c r="AA61" i="9"/>
  <c r="AB358" i="9"/>
  <c r="AD160" i="9"/>
  <c r="AE296" i="9"/>
  <c r="AJ61" i="9"/>
  <c r="Z61" i="9"/>
  <c r="AA358" i="9"/>
  <c r="AB160" i="9"/>
  <c r="AD296" i="9"/>
  <c r="AI61" i="9"/>
  <c r="AJ358" i="9"/>
  <c r="Z358" i="9"/>
  <c r="AA160" i="9"/>
  <c r="AB296" i="9"/>
  <c r="Z3" i="9"/>
  <c r="AB100" i="9"/>
  <c r="AH354" i="9"/>
  <c r="AI114" i="9"/>
  <c r="AI194" i="9"/>
  <c r="AH262" i="9"/>
  <c r="AE145" i="9"/>
  <c r="AD107" i="9"/>
  <c r="AA221" i="9"/>
  <c r="AI115" i="9"/>
  <c r="AB7" i="9"/>
  <c r="AJ231" i="9"/>
  <c r="AH179" i="9"/>
  <c r="AI176" i="9"/>
  <c r="AA126" i="9"/>
  <c r="AA258" i="9"/>
  <c r="AJ236" i="9"/>
  <c r="AI244" i="9"/>
  <c r="AE304" i="9"/>
  <c r="AJ58" i="9"/>
  <c r="AH63" i="9"/>
  <c r="AF113" i="9"/>
  <c r="AI198" i="9"/>
  <c r="AE94" i="9"/>
  <c r="AF176" i="9"/>
  <c r="AD324" i="9"/>
  <c r="AD180" i="9"/>
  <c r="AA248" i="9"/>
  <c r="AF244" i="9"/>
  <c r="AD24" i="9"/>
  <c r="AB58" i="9"/>
  <c r="Z63" i="9"/>
  <c r="AH346" i="9"/>
  <c r="AF198" i="9"/>
  <c r="AH39" i="9"/>
  <c r="AD28" i="9"/>
  <c r="AF76" i="9"/>
  <c r="AD9" i="9"/>
  <c r="AD161" i="9"/>
  <c r="AJ133" i="9"/>
  <c r="AH51" i="9"/>
  <c r="AD151" i="9"/>
  <c r="AI150" i="9"/>
  <c r="AF149" i="9"/>
  <c r="AF275" i="9"/>
  <c r="AE339" i="9"/>
  <c r="Z355" i="9"/>
  <c r="AI175" i="9"/>
  <c r="Z62" i="9"/>
  <c r="AF147" i="9"/>
  <c r="Z133" i="9"/>
  <c r="AE51" i="9"/>
  <c r="AB29" i="9"/>
  <c r="AA150" i="9"/>
  <c r="AJ109" i="9"/>
  <c r="Z277" i="9"/>
  <c r="AA339" i="9"/>
  <c r="AE199" i="9"/>
  <c r="Z142" i="9"/>
  <c r="AB135" i="9"/>
  <c r="Z190" i="9"/>
  <c r="AJ100" i="9"/>
  <c r="AI6" i="9"/>
  <c r="AF193" i="9"/>
  <c r="AB140" i="9"/>
  <c r="AH109" i="9"/>
  <c r="AB206" i="9"/>
  <c r="AA18" i="9"/>
  <c r="AH116" i="9"/>
  <c r="AE312" i="9"/>
  <c r="Z135" i="9"/>
  <c r="AB350" i="9"/>
  <c r="AJ110" i="9"/>
  <c r="AD193" i="9"/>
  <c r="AA87" i="9"/>
  <c r="Z109" i="9"/>
  <c r="AB19" i="9"/>
  <c r="AF92" i="9"/>
  <c r="AE116" i="9"/>
  <c r="AH230" i="9"/>
  <c r="AB195" i="9"/>
  <c r="AE249" i="9"/>
  <c r="Z100" i="9"/>
  <c r="AI221" i="9"/>
  <c r="AH270" i="9"/>
  <c r="AE7" i="9"/>
  <c r="AH133" i="9"/>
  <c r="AA107" i="9"/>
  <c r="AF6" i="9"/>
  <c r="Z58" i="9"/>
  <c r="AE270" i="9"/>
  <c r="AJ140" i="9"/>
  <c r="AD113" i="9"/>
  <c r="AI242" i="9"/>
  <c r="Z275" i="9"/>
  <c r="AE179" i="9"/>
  <c r="AH88" i="9"/>
  <c r="Z28" i="9"/>
  <c r="AJ183" i="9"/>
  <c r="AB288" i="9"/>
  <c r="AA180" i="9"/>
  <c r="AE267" i="9"/>
  <c r="AI44" i="9"/>
  <c r="AI22" i="9"/>
  <c r="AB304" i="9"/>
  <c r="AH110" i="9"/>
  <c r="AA151" i="9"/>
  <c r="AF115" i="9"/>
  <c r="Z140" i="9"/>
  <c r="AE346" i="9"/>
  <c r="AJ34" i="9"/>
  <c r="AI70" i="9"/>
  <c r="AJ245" i="9"/>
  <c r="AD92" i="9"/>
  <c r="AF85" i="9"/>
  <c r="AD46" i="9"/>
  <c r="AB312" i="9"/>
  <c r="AF338" i="9"/>
  <c r="AJ341" i="9"/>
  <c r="AI303" i="9"/>
  <c r="AH145" i="9"/>
  <c r="AA22" i="9"/>
  <c r="AF24" i="9"/>
  <c r="Z110" i="9"/>
  <c r="AE29" i="9"/>
  <c r="AJ63" i="9"/>
  <c r="AD87" i="9"/>
  <c r="AI149" i="9"/>
  <c r="AB34" i="9"/>
  <c r="AF206" i="9"/>
  <c r="AJ39" i="9"/>
  <c r="AD271" i="9"/>
  <c r="AF324" i="9"/>
  <c r="AE353" i="9"/>
  <c r="AI62" i="9"/>
  <c r="AA129" i="9"/>
  <c r="Z210" i="9"/>
  <c r="AF145" i="9"/>
  <c r="AH244" i="9"/>
  <c r="AI133" i="9"/>
  <c r="AJ22" i="9"/>
  <c r="Z22" i="9"/>
  <c r="AA100" i="9"/>
  <c r="AB107" i="9"/>
  <c r="AD304" i="9"/>
  <c r="AE24" i="9"/>
  <c r="AF51" i="9"/>
  <c r="AH6" i="9"/>
  <c r="AI110" i="9"/>
  <c r="AJ221" i="9"/>
  <c r="Z221" i="9"/>
  <c r="AA58" i="9"/>
  <c r="AB151" i="9"/>
  <c r="AD29" i="9"/>
  <c r="AE193" i="9"/>
  <c r="AF270" i="9"/>
  <c r="AH115" i="9"/>
  <c r="AI63" i="9"/>
  <c r="AJ150" i="9"/>
  <c r="Z150" i="9"/>
  <c r="AA140" i="9"/>
  <c r="AB87" i="9"/>
  <c r="AD7" i="9"/>
  <c r="AE113" i="9"/>
  <c r="AF346" i="9"/>
  <c r="AH149" i="9"/>
  <c r="AI109" i="9"/>
  <c r="AJ242" i="9"/>
  <c r="Z242" i="9"/>
  <c r="Z34" i="9"/>
  <c r="AH198" i="9"/>
  <c r="AB275" i="9"/>
  <c r="AJ70" i="9"/>
  <c r="AD206" i="9"/>
  <c r="AA19" i="9"/>
  <c r="AF179" i="9"/>
  <c r="AA94" i="9"/>
  <c r="AI39" i="9"/>
  <c r="AB339" i="9"/>
  <c r="Z18" i="9"/>
  <c r="AE92" i="9"/>
  <c r="Z271" i="9"/>
  <c r="AH176" i="9"/>
  <c r="AA28" i="9"/>
  <c r="AJ85" i="9"/>
  <c r="AF116" i="9"/>
  <c r="Z354" i="9"/>
  <c r="Z126" i="9"/>
  <c r="AE324" i="9"/>
  <c r="AJ175" i="9"/>
  <c r="AJ288" i="9"/>
  <c r="AD312" i="9"/>
  <c r="AI230" i="9"/>
  <c r="AI258" i="9"/>
  <c r="AB180" i="9"/>
  <c r="AH338" i="9"/>
  <c r="AH62" i="9"/>
  <c r="AA135" i="9"/>
  <c r="AF267" i="9"/>
  <c r="AF262" i="9"/>
  <c r="Z129" i="9"/>
  <c r="AE161" i="9"/>
  <c r="AE147" i="9"/>
  <c r="AJ303" i="9"/>
  <c r="AD350" i="9"/>
  <c r="AD249" i="9"/>
  <c r="AD145" i="9"/>
  <c r="AE244" i="9"/>
  <c r="AF133" i="9"/>
  <c r="AH22" i="9"/>
  <c r="AI100" i="9"/>
  <c r="AJ107" i="9"/>
  <c r="Z107" i="9"/>
  <c r="AA304" i="9"/>
  <c r="AB24" i="9"/>
  <c r="AD51" i="9"/>
  <c r="AE6" i="9"/>
  <c r="AF110" i="9"/>
  <c r="AH221" i="9"/>
  <c r="AI58" i="9"/>
  <c r="AJ151" i="9"/>
  <c r="Z151" i="9"/>
  <c r="AA29" i="9"/>
  <c r="AB193" i="9"/>
  <c r="AD270" i="9"/>
  <c r="AE115" i="9"/>
  <c r="AF63" i="9"/>
  <c r="AH150" i="9"/>
  <c r="AI140" i="9"/>
  <c r="AJ87" i="9"/>
  <c r="Z87" i="9"/>
  <c r="AA7" i="9"/>
  <c r="AB113" i="9"/>
  <c r="AD346" i="9"/>
  <c r="AE149" i="9"/>
  <c r="AF109" i="9"/>
  <c r="AH242" i="9"/>
  <c r="AI34" i="9"/>
  <c r="AH231" i="9"/>
  <c r="AE198" i="9"/>
  <c r="AJ277" i="9"/>
  <c r="AE70" i="9"/>
  <c r="AA206" i="9"/>
  <c r="AF114" i="9"/>
  <c r="AD179" i="9"/>
  <c r="AI245" i="9"/>
  <c r="AD39" i="9"/>
  <c r="Z339" i="9"/>
  <c r="AE88" i="9"/>
  <c r="AB92" i="9"/>
  <c r="AH194" i="9"/>
  <c r="AB176" i="9"/>
  <c r="AJ355" i="9"/>
  <c r="AD85" i="9"/>
  <c r="AD199" i="9"/>
  <c r="AI172" i="9"/>
  <c r="AI183" i="9"/>
  <c r="AB46" i="9"/>
  <c r="AH112" i="9"/>
  <c r="AH175" i="9"/>
  <c r="AA288" i="9"/>
  <c r="AF283" i="9"/>
  <c r="AF230" i="9"/>
  <c r="Z258" i="9"/>
  <c r="AE345" i="9"/>
  <c r="AE338" i="9"/>
  <c r="AJ188" i="9"/>
  <c r="AD106" i="9"/>
  <c r="AD267" i="9"/>
  <c r="AI341" i="9"/>
  <c r="AB236" i="9"/>
  <c r="AB161" i="9"/>
  <c r="AH44" i="9"/>
  <c r="AA303" i="9"/>
  <c r="AA350" i="9"/>
  <c r="AB145" i="9"/>
  <c r="AD244" i="9"/>
  <c r="AE133" i="9"/>
  <c r="AF22" i="9"/>
  <c r="AH100" i="9"/>
  <c r="AI107" i="9"/>
  <c r="AJ304" i="9"/>
  <c r="Z304" i="9"/>
  <c r="AA24" i="9"/>
  <c r="AB51" i="9"/>
  <c r="AD6" i="9"/>
  <c r="AE110" i="9"/>
  <c r="AF221" i="9"/>
  <c r="AH58" i="9"/>
  <c r="AI151" i="9"/>
  <c r="AJ29" i="9"/>
  <c r="Z29" i="9"/>
  <c r="AA193" i="9"/>
  <c r="AB270" i="9"/>
  <c r="AD115" i="9"/>
  <c r="AE63" i="9"/>
  <c r="AF150" i="9"/>
  <c r="AH140" i="9"/>
  <c r="AI87" i="9"/>
  <c r="AJ7" i="9"/>
  <c r="Z7" i="9"/>
  <c r="AA113" i="9"/>
  <c r="AB346" i="9"/>
  <c r="AD149" i="9"/>
  <c r="AE109" i="9"/>
  <c r="AF242" i="9"/>
  <c r="AH34" i="9"/>
  <c r="AF231" i="9"/>
  <c r="AA198" i="9"/>
  <c r="AI277" i="9"/>
  <c r="AB70" i="9"/>
  <c r="Z206" i="9"/>
  <c r="AE114" i="9"/>
  <c r="Z179" i="9"/>
  <c r="AH245" i="9"/>
  <c r="AA39" i="9"/>
  <c r="AJ18" i="9"/>
  <c r="AD88" i="9"/>
  <c r="AJ271" i="9"/>
  <c r="AF194" i="9"/>
  <c r="Z176" i="9"/>
  <c r="AI355" i="9"/>
  <c r="AB85" i="9"/>
  <c r="AB199" i="9"/>
  <c r="AH172" i="9"/>
  <c r="AA183" i="9"/>
  <c r="AA46" i="9"/>
  <c r="AF112" i="9"/>
  <c r="Z175" i="9"/>
  <c r="Z288" i="9"/>
  <c r="AE283" i="9"/>
  <c r="AJ214" i="9"/>
  <c r="AJ21" i="9"/>
  <c r="AD345" i="9"/>
  <c r="AI212" i="9"/>
  <c r="AI188" i="9"/>
  <c r="AB106" i="9"/>
  <c r="AH300" i="9"/>
  <c r="AH341" i="9"/>
  <c r="AA236" i="9"/>
  <c r="AF261" i="9"/>
  <c r="AF44" i="9"/>
  <c r="Z303" i="9"/>
  <c r="AE299" i="9"/>
  <c r="AE47" i="9"/>
  <c r="Z276" i="9"/>
  <c r="AJ276" i="9"/>
  <c r="AH249" i="9"/>
  <c r="AF299" i="9"/>
  <c r="AE350" i="9"/>
  <c r="AD210" i="9"/>
  <c r="AB303" i="9"/>
  <c r="AA190" i="9"/>
  <c r="Z44" i="9"/>
  <c r="AJ44" i="9"/>
  <c r="AI147" i="9"/>
  <c r="AH261" i="9"/>
  <c r="AF161" i="9"/>
  <c r="AE248" i="9"/>
  <c r="AD236" i="9"/>
  <c r="AB129" i="9"/>
  <c r="AA341" i="9"/>
  <c r="Z262" i="9"/>
  <c r="AJ262" i="9"/>
  <c r="AI300" i="9"/>
  <c r="AH267" i="9"/>
  <c r="AF195" i="9"/>
  <c r="AE106" i="9"/>
  <c r="AD135" i="9"/>
  <c r="AB188" i="9"/>
  <c r="AA62" i="9"/>
  <c r="Z212" i="9"/>
  <c r="AJ212" i="9"/>
  <c r="AI338" i="9"/>
  <c r="AH9" i="9"/>
  <c r="AF345" i="9"/>
  <c r="AE180" i="9"/>
  <c r="AD21" i="9"/>
  <c r="AB258" i="9"/>
  <c r="AA214" i="9"/>
  <c r="Z230" i="9"/>
  <c r="AJ230" i="9"/>
  <c r="AI353" i="9"/>
  <c r="AH283" i="9"/>
  <c r="AF312" i="9"/>
  <c r="AE136" i="9"/>
  <c r="AD288" i="9"/>
  <c r="AB142" i="9"/>
  <c r="AA175" i="9"/>
  <c r="Z76" i="9"/>
  <c r="AJ76" i="9"/>
  <c r="AI112" i="9"/>
  <c r="AH324" i="9"/>
  <c r="AF79" i="9"/>
  <c r="AE46" i="9"/>
  <c r="AD126" i="9"/>
  <c r="AB183" i="9"/>
  <c r="AA354" i="9"/>
  <c r="Z172" i="9"/>
  <c r="AJ172" i="9"/>
  <c r="AI116" i="9"/>
  <c r="AH229" i="9"/>
  <c r="AF199" i="9"/>
  <c r="AA276" i="9"/>
  <c r="AI249" i="9"/>
  <c r="AH299" i="9"/>
  <c r="AF350" i="9"/>
  <c r="AE210" i="9"/>
  <c r="AD303" i="9"/>
  <c r="AB190" i="9"/>
  <c r="AA44" i="9"/>
  <c r="Z147" i="9"/>
  <c r="AJ147" i="9"/>
  <c r="AI261" i="9"/>
  <c r="AH161" i="9"/>
  <c r="AF248" i="9"/>
  <c r="AE236" i="9"/>
  <c r="AD129" i="9"/>
  <c r="AB341" i="9"/>
  <c r="AA262" i="9"/>
  <c r="Z300" i="9"/>
  <c r="AJ300" i="9"/>
  <c r="AI267" i="9"/>
  <c r="AH195" i="9"/>
  <c r="AF106" i="9"/>
  <c r="AE135" i="9"/>
  <c r="AD188" i="9"/>
  <c r="AB62" i="9"/>
  <c r="AA212" i="9"/>
  <c r="Z338" i="9"/>
  <c r="AJ338" i="9"/>
  <c r="AI9" i="9"/>
  <c r="AH345" i="9"/>
  <c r="AF180" i="9"/>
  <c r="AE21" i="9"/>
  <c r="AD258" i="9"/>
  <c r="AB214" i="9"/>
  <c r="AA230" i="9"/>
  <c r="Z353" i="9"/>
  <c r="AJ353" i="9"/>
  <c r="AI283" i="9"/>
  <c r="AH312" i="9"/>
  <c r="AF136" i="9"/>
  <c r="AE288" i="9"/>
  <c r="AD142" i="9"/>
  <c r="AB175" i="9"/>
  <c r="AA76" i="9"/>
  <c r="Z112" i="9"/>
  <c r="AJ112" i="9"/>
  <c r="AI324" i="9"/>
  <c r="AH79" i="9"/>
  <c r="AF46" i="9"/>
  <c r="AE126" i="9"/>
  <c r="AD183" i="9"/>
  <c r="AB354" i="9"/>
  <c r="AA172" i="9"/>
  <c r="Z116" i="9"/>
  <c r="AJ116" i="9"/>
  <c r="AI229" i="9"/>
  <c r="AH199" i="9"/>
  <c r="AE85" i="9"/>
  <c r="AD355" i="9"/>
  <c r="AB28" i="9"/>
  <c r="AA176" i="9"/>
  <c r="Z194" i="9"/>
  <c r="AJ194" i="9"/>
  <c r="AI271" i="9"/>
  <c r="AH92" i="9"/>
  <c r="AF88" i="9"/>
  <c r="AE18" i="9"/>
  <c r="AD339" i="9"/>
  <c r="AB39" i="9"/>
  <c r="AA245" i="9"/>
  <c r="Z94" i="9"/>
  <c r="AJ94" i="9"/>
  <c r="AI179" i="9"/>
  <c r="AH114" i="9"/>
  <c r="AF19" i="9"/>
  <c r="AE206" i="9"/>
  <c r="AD70" i="9"/>
  <c r="AB277" i="9"/>
  <c r="AA275" i="9"/>
  <c r="Z198" i="9"/>
  <c r="AJ198" i="9"/>
  <c r="AI231" i="9"/>
  <c r="AB276" i="9"/>
  <c r="Z249" i="9"/>
  <c r="AJ249" i="9"/>
  <c r="AI299" i="9"/>
  <c r="AH350" i="9"/>
  <c r="AF210" i="9"/>
  <c r="AE303" i="9"/>
  <c r="AD190" i="9"/>
  <c r="AB44" i="9"/>
  <c r="AA147" i="9"/>
  <c r="Z261" i="9"/>
  <c r="AJ261" i="9"/>
  <c r="AI161" i="9"/>
  <c r="AH248" i="9"/>
  <c r="AF236" i="9"/>
  <c r="AE129" i="9"/>
  <c r="AD341" i="9"/>
  <c r="AB262" i="9"/>
  <c r="AA300" i="9"/>
  <c r="Z267" i="9"/>
  <c r="AJ267" i="9"/>
  <c r="AI195" i="9"/>
  <c r="AH106" i="9"/>
  <c r="AF135" i="9"/>
  <c r="AE188" i="9"/>
  <c r="AD62" i="9"/>
  <c r="AB212" i="9"/>
  <c r="AA338" i="9"/>
  <c r="Z9" i="9"/>
  <c r="AJ9" i="9"/>
  <c r="AI345" i="9"/>
  <c r="AH180" i="9"/>
  <c r="AF21" i="9"/>
  <c r="AE258" i="9"/>
  <c r="AD214" i="9"/>
  <c r="AB230" i="9"/>
  <c r="AA353" i="9"/>
  <c r="Z283" i="9"/>
  <c r="AJ283" i="9"/>
  <c r="AI312" i="9"/>
  <c r="AH136" i="9"/>
  <c r="AF288" i="9"/>
  <c r="AE142" i="9"/>
  <c r="AD175" i="9"/>
  <c r="AB76" i="9"/>
  <c r="AA112" i="9"/>
  <c r="Z324" i="9"/>
  <c r="AJ324" i="9"/>
  <c r="AI79" i="9"/>
  <c r="AH46" i="9"/>
  <c r="AF126" i="9"/>
  <c r="AE183" i="9"/>
  <c r="AD354" i="9"/>
  <c r="AB172" i="9"/>
  <c r="AA116" i="9"/>
  <c r="Z229" i="9"/>
  <c r="AJ229" i="9"/>
  <c r="AI199" i="9"/>
  <c r="AD276" i="9"/>
  <c r="AA249" i="9"/>
  <c r="Z299" i="9"/>
  <c r="AJ299" i="9"/>
  <c r="AI350" i="9"/>
  <c r="AH210" i="9"/>
  <c r="AF303" i="9"/>
  <c r="AE190" i="9"/>
  <c r="AD44" i="9"/>
  <c r="AB147" i="9"/>
  <c r="AA261" i="9"/>
  <c r="Z161" i="9"/>
  <c r="AJ161" i="9"/>
  <c r="AI248" i="9"/>
  <c r="AH236" i="9"/>
  <c r="AF129" i="9"/>
  <c r="AE341" i="9"/>
  <c r="AD262" i="9"/>
  <c r="AB300" i="9"/>
  <c r="AA267" i="9"/>
  <c r="Z195" i="9"/>
  <c r="AJ195" i="9"/>
  <c r="AI106" i="9"/>
  <c r="AH135" i="9"/>
  <c r="AF188" i="9"/>
  <c r="AE62" i="9"/>
  <c r="AD212" i="9"/>
  <c r="AB338" i="9"/>
  <c r="AA9" i="9"/>
  <c r="Z345" i="9"/>
  <c r="AJ345" i="9"/>
  <c r="AI180" i="9"/>
  <c r="AH21" i="9"/>
  <c r="AF258" i="9"/>
  <c r="AE214" i="9"/>
  <c r="AD230" i="9"/>
  <c r="AB353" i="9"/>
  <c r="AA283" i="9"/>
  <c r="Z312" i="9"/>
  <c r="AJ312" i="9"/>
  <c r="AI136" i="9"/>
  <c r="AH288" i="9"/>
  <c r="AF142" i="9"/>
  <c r="AE175" i="9"/>
  <c r="AD76" i="9"/>
  <c r="AB112" i="9"/>
  <c r="AA324" i="9"/>
  <c r="Z79" i="9"/>
  <c r="AJ79" i="9"/>
  <c r="AI46" i="9"/>
  <c r="AH126" i="9"/>
  <c r="AF183" i="9"/>
  <c r="AE354" i="9"/>
  <c r="AD172" i="9"/>
  <c r="AB116" i="9"/>
  <c r="AA229" i="9"/>
  <c r="Z199" i="9"/>
  <c r="AJ199" i="9"/>
  <c r="AH85" i="9"/>
  <c r="AF355" i="9"/>
  <c r="AE28" i="9"/>
  <c r="AD176" i="9"/>
  <c r="AB194" i="9"/>
  <c r="AA271" i="9"/>
  <c r="Z92" i="9"/>
  <c r="AJ92" i="9"/>
  <c r="AI88" i="9"/>
  <c r="AH18" i="9"/>
  <c r="AF339" i="9"/>
  <c r="AE39" i="9"/>
  <c r="AD245" i="9"/>
  <c r="AB94" i="9"/>
  <c r="AA179" i="9"/>
  <c r="Z114" i="9"/>
  <c r="AJ114" i="9"/>
  <c r="AI19" i="9"/>
  <c r="AH206" i="9"/>
  <c r="AF70" i="9"/>
  <c r="AE277" i="9"/>
  <c r="AD275" i="9"/>
  <c r="AB198" i="9"/>
  <c r="AA231" i="9"/>
  <c r="AE276" i="9"/>
  <c r="AB249" i="9"/>
  <c r="AA299" i="9"/>
  <c r="Z350" i="9"/>
  <c r="AJ350" i="9"/>
  <c r="AI210" i="9"/>
  <c r="AH303" i="9"/>
  <c r="AF190" i="9"/>
  <c r="AE44" i="9"/>
  <c r="AD147" i="9"/>
  <c r="AB261" i="9"/>
  <c r="AA161" i="9"/>
  <c r="Z248" i="9"/>
  <c r="AJ248" i="9"/>
  <c r="AI236" i="9"/>
  <c r="AH129" i="9"/>
  <c r="AF341" i="9"/>
  <c r="AE262" i="9"/>
  <c r="AD300" i="9"/>
  <c r="AB267" i="9"/>
  <c r="AA195" i="9"/>
  <c r="Z106" i="9"/>
  <c r="AJ106" i="9"/>
  <c r="AI135" i="9"/>
  <c r="AH188" i="9"/>
  <c r="AF62" i="9"/>
  <c r="AE212" i="9"/>
  <c r="AD338" i="9"/>
  <c r="AB9" i="9"/>
  <c r="AA345" i="9"/>
  <c r="Z180" i="9"/>
  <c r="AJ180" i="9"/>
  <c r="AI21" i="9"/>
  <c r="AH258" i="9"/>
  <c r="AF214" i="9"/>
  <c r="AE230" i="9"/>
  <c r="AD353" i="9"/>
  <c r="AB283" i="9"/>
  <c r="AA312" i="9"/>
  <c r="Z136" i="9"/>
  <c r="AJ136" i="9"/>
  <c r="AI288" i="9"/>
  <c r="AH142" i="9"/>
  <c r="AF175" i="9"/>
  <c r="AE76" i="9"/>
  <c r="AD112" i="9"/>
  <c r="AB324" i="9"/>
  <c r="AA79" i="9"/>
  <c r="Z46" i="9"/>
  <c r="AJ46" i="9"/>
  <c r="AI126" i="9"/>
  <c r="AH183" i="9"/>
  <c r="AF354" i="9"/>
  <c r="AE172" i="9"/>
  <c r="AD116" i="9"/>
  <c r="AB229" i="9"/>
  <c r="AA199" i="9"/>
  <c r="AI85" i="9"/>
  <c r="AH355" i="9"/>
  <c r="AF28" i="9"/>
  <c r="AE176" i="9"/>
  <c r="AD194" i="9"/>
  <c r="AB271" i="9"/>
  <c r="AA92" i="9"/>
  <c r="Z88" i="9"/>
  <c r="AJ88" i="9"/>
  <c r="AI18" i="9"/>
  <c r="AH339" i="9"/>
  <c r="AF39" i="9"/>
  <c r="AE245" i="9"/>
  <c r="AD94" i="9"/>
  <c r="AB179" i="9"/>
  <c r="AA114" i="9"/>
  <c r="Z19" i="9"/>
  <c r="AJ19" i="9"/>
  <c r="AI206" i="9"/>
  <c r="AH70" i="9"/>
  <c r="AF277" i="9"/>
  <c r="AE275" i="9"/>
  <c r="AD198" i="9"/>
  <c r="AB231" i="9"/>
  <c r="AA34" i="9"/>
  <c r="AA145" i="9"/>
  <c r="AB244" i="9"/>
  <c r="AD133" i="9"/>
  <c r="AE22" i="9"/>
  <c r="AF100" i="9"/>
  <c r="AH107" i="9"/>
  <c r="AI304" i="9"/>
  <c r="AJ24" i="9"/>
  <c r="Z24" i="9"/>
  <c r="AA51" i="9"/>
  <c r="AB6" i="9"/>
  <c r="AD110" i="9"/>
  <c r="AE221" i="9"/>
  <c r="AF58" i="9"/>
  <c r="AH151" i="9"/>
  <c r="AI29" i="9"/>
  <c r="AJ193" i="9"/>
  <c r="Z193" i="9"/>
  <c r="AA270" i="9"/>
  <c r="AB115" i="9"/>
  <c r="AD63" i="9"/>
  <c r="AE150" i="9"/>
  <c r="AF140" i="9"/>
  <c r="AH87" i="9"/>
  <c r="AI7" i="9"/>
  <c r="AJ113" i="9"/>
  <c r="Z113" i="9"/>
  <c r="AA346" i="9"/>
  <c r="AB149" i="9"/>
  <c r="AD109" i="9"/>
  <c r="AE242" i="9"/>
  <c r="AF34" i="9"/>
  <c r="AE231" i="9"/>
  <c r="AJ275" i="9"/>
  <c r="AH277" i="9"/>
  <c r="AA70" i="9"/>
  <c r="AH19" i="9"/>
  <c r="AD114" i="9"/>
  <c r="AI94" i="9"/>
  <c r="AF245" i="9"/>
  <c r="Z39" i="9"/>
  <c r="AF18" i="9"/>
  <c r="AB88" i="9"/>
  <c r="AH271" i="9"/>
  <c r="AE194" i="9"/>
  <c r="AJ28" i="9"/>
  <c r="AE355" i="9"/>
  <c r="AA85" i="9"/>
  <c r="AF229" i="9"/>
  <c r="AF172" i="9"/>
  <c r="Z183" i="9"/>
  <c r="AE79" i="9"/>
  <c r="AE112" i="9"/>
  <c r="AJ142" i="9"/>
  <c r="AD136" i="9"/>
  <c r="AD283" i="9"/>
  <c r="AI214" i="9"/>
  <c r="AB21" i="9"/>
  <c r="AB345" i="9"/>
  <c r="AH212" i="9"/>
  <c r="AA188" i="9"/>
  <c r="AA106" i="9"/>
  <c r="AF300" i="9"/>
  <c r="Z341" i="9"/>
  <c r="Z236" i="9"/>
  <c r="AE261" i="9"/>
  <c r="AJ190" i="9"/>
  <c r="AJ210" i="9"/>
  <c r="AD299" i="9"/>
  <c r="AI276" i="9"/>
  <c r="AJ145" i="9"/>
  <c r="Z145" i="9"/>
  <c r="AA244" i="9"/>
  <c r="AB133" i="9"/>
  <c r="AD22" i="9"/>
  <c r="AE100" i="9"/>
  <c r="AF107" i="9"/>
  <c r="AH304" i="9"/>
  <c r="AI24" i="9"/>
  <c r="AJ51" i="9"/>
  <c r="Z51" i="9"/>
  <c r="AA6" i="9"/>
  <c r="AB110" i="9"/>
  <c r="AD221" i="9"/>
  <c r="AE58" i="9"/>
  <c r="AF151" i="9"/>
  <c r="AH29" i="9"/>
  <c r="AI193" i="9"/>
  <c r="AJ270" i="9"/>
  <c r="Z270" i="9"/>
  <c r="AA115" i="9"/>
  <c r="AB63" i="9"/>
  <c r="AD150" i="9"/>
  <c r="AE140" i="9"/>
  <c r="AF87" i="9"/>
  <c r="AH7" i="9"/>
  <c r="AI113" i="9"/>
  <c r="AJ346" i="9"/>
  <c r="Z346" i="9"/>
  <c r="AA149" i="9"/>
  <c r="AB109" i="9"/>
  <c r="AD242" i="9"/>
  <c r="AE34" i="9"/>
  <c r="AD231" i="9"/>
  <c r="AI275" i="9"/>
  <c r="AD277" i="9"/>
  <c r="Z70" i="9"/>
  <c r="AE19" i="9"/>
  <c r="AB114" i="9"/>
  <c r="AH94" i="9"/>
  <c r="AB245" i="9"/>
  <c r="AJ339" i="9"/>
  <c r="AD18" i="9"/>
  <c r="AA88" i="9"/>
  <c r="AF271" i="9"/>
  <c r="AA194" i="9"/>
  <c r="AI28" i="9"/>
  <c r="AB355" i="9"/>
  <c r="Z85" i="9"/>
  <c r="AE229" i="9"/>
  <c r="AJ354" i="9"/>
  <c r="AJ126" i="9"/>
  <c r="AD79" i="9"/>
  <c r="AI76" i="9"/>
  <c r="AI142" i="9"/>
  <c r="AB136" i="9"/>
  <c r="AH353" i="9"/>
  <c r="AH214" i="9"/>
  <c r="AA21" i="9"/>
  <c r="AF9" i="9"/>
  <c r="AF212" i="9"/>
  <c r="Z188" i="9"/>
  <c r="AE195" i="9"/>
  <c r="AE300" i="9"/>
  <c r="AJ129" i="9"/>
  <c r="AD248" i="9"/>
  <c r="AD261" i="9"/>
  <c r="AI190" i="9"/>
  <c r="AB210" i="9"/>
  <c r="AB299" i="9"/>
  <c r="AH276" i="9"/>
  <c r="AI145" i="9"/>
  <c r="AJ244" i="9"/>
  <c r="Z244" i="9"/>
  <c r="AA133" i="9"/>
  <c r="AB22" i="9"/>
  <c r="AD100" i="9"/>
  <c r="AE107" i="9"/>
  <c r="AF304" i="9"/>
  <c r="AH24" i="9"/>
  <c r="AI51" i="9"/>
  <c r="AJ6" i="9"/>
  <c r="Z6" i="9"/>
  <c r="AA110" i="9"/>
  <c r="AB221" i="9"/>
  <c r="AD58" i="9"/>
  <c r="AE151" i="9"/>
  <c r="AF29" i="9"/>
  <c r="AH193" i="9"/>
  <c r="AI270" i="9"/>
  <c r="AJ115" i="9"/>
  <c r="Z115" i="9"/>
  <c r="AA63" i="9"/>
  <c r="AB150" i="9"/>
  <c r="AD140" i="9"/>
  <c r="AE87" i="9"/>
  <c r="AF7" i="9"/>
  <c r="AH113" i="9"/>
  <c r="AI346" i="9"/>
  <c r="AJ149" i="9"/>
  <c r="Z149" i="9"/>
  <c r="AA109" i="9"/>
  <c r="AB242" i="9"/>
  <c r="AD34" i="9"/>
  <c r="Z231" i="9"/>
  <c r="AH275" i="9"/>
  <c r="AA277" i="9"/>
  <c r="AJ206" i="9"/>
  <c r="AD19" i="9"/>
  <c r="AJ179" i="9"/>
  <c r="AF94" i="9"/>
  <c r="Z245" i="9"/>
  <c r="AI339" i="9"/>
  <c r="AB18" i="9"/>
  <c r="AI92" i="9"/>
  <c r="AE271" i="9"/>
  <c r="AJ176" i="9"/>
  <c r="AH28" i="9"/>
  <c r="AA355" i="9"/>
  <c r="AD229" i="9"/>
  <c r="AI354" i="9"/>
  <c r="AB126" i="9"/>
  <c r="AB79" i="9"/>
  <c r="AH76" i="9"/>
  <c r="AA142" i="9"/>
  <c r="AA136" i="9"/>
  <c r="AF353" i="9"/>
  <c r="Z214" i="9"/>
  <c r="Z21" i="9"/>
  <c r="AE9" i="9"/>
  <c r="AJ62" i="9"/>
  <c r="AJ135" i="9"/>
  <c r="AD195" i="9"/>
  <c r="AI262" i="9"/>
  <c r="AI129" i="9"/>
  <c r="AB248" i="9"/>
  <c r="AH147" i="9"/>
  <c r="AH190" i="9"/>
  <c r="AA210" i="9"/>
  <c r="AF249" i="9"/>
  <c r="AF276" i="9"/>
  <c r="AD47" i="9"/>
  <c r="AF47" i="9"/>
  <c r="Z47" i="9"/>
  <c r="AA47" i="9"/>
  <c r="AB47" i="9"/>
  <c r="AB69" i="9"/>
  <c r="AB327" i="9"/>
  <c r="AH152" i="9"/>
  <c r="AJ254" i="9"/>
  <c r="Z123" i="9"/>
  <c r="AE213" i="9"/>
  <c r="AB282" i="9"/>
  <c r="AJ97" i="9"/>
  <c r="Z97" i="9"/>
  <c r="AA327" i="9"/>
  <c r="AB235" i="9"/>
  <c r="AD246" i="9"/>
  <c r="AE308" i="9"/>
  <c r="AF152" i="9"/>
  <c r="AH280" i="9"/>
  <c r="AI254" i="9"/>
  <c r="AJ17" i="9"/>
  <c r="Z17" i="9"/>
  <c r="Z48" i="9"/>
  <c r="AF43" i="9"/>
  <c r="AI81" i="9"/>
  <c r="Z213" i="9"/>
  <c r="AB27" i="9"/>
  <c r="AH260" i="9"/>
  <c r="Z50" i="9"/>
  <c r="AJ50" i="9"/>
  <c r="AI313" i="9"/>
  <c r="AH178" i="9"/>
  <c r="AF184" i="9"/>
  <c r="AE256" i="9"/>
  <c r="AD119" i="9"/>
  <c r="AB203" i="9"/>
  <c r="AA38" i="9"/>
  <c r="Z74" i="9"/>
  <c r="AJ74" i="9"/>
  <c r="AI187" i="9"/>
  <c r="AH20" i="9"/>
  <c r="AF215" i="9"/>
  <c r="AE347" i="9"/>
  <c r="AD356" i="9"/>
  <c r="AB36" i="9"/>
  <c r="AA252" i="9"/>
  <c r="Z201" i="9"/>
  <c r="AJ201" i="9"/>
  <c r="AI266" i="9"/>
  <c r="AH10" i="9"/>
  <c r="AF196" i="9"/>
  <c r="AE218" i="9"/>
  <c r="AD186" i="9"/>
  <c r="AB82" i="9"/>
  <c r="AA159" i="9"/>
  <c r="Z128" i="9"/>
  <c r="AJ128" i="9"/>
  <c r="AI144" i="9"/>
  <c r="AH111" i="9"/>
  <c r="AF240" i="9"/>
  <c r="AE91" i="9"/>
  <c r="AD162" i="9"/>
  <c r="AB173" i="9"/>
  <c r="AA130" i="9"/>
  <c r="Z234" i="9"/>
  <c r="AJ234" i="9"/>
  <c r="AI181" i="9"/>
  <c r="AH274" i="9"/>
  <c r="AF286" i="9"/>
  <c r="AE265" i="9"/>
  <c r="Z108" i="9"/>
  <c r="AJ108" i="9"/>
  <c r="AE357" i="9"/>
  <c r="Z64" i="9"/>
  <c r="AJ64" i="9"/>
  <c r="AE169" i="9"/>
  <c r="AI228" i="9"/>
  <c r="AD316" i="9"/>
  <c r="AI335" i="9"/>
  <c r="AB264" i="9"/>
  <c r="AA50" i="9"/>
  <c r="Z313" i="9"/>
  <c r="AJ313" i="9"/>
  <c r="AI178" i="9"/>
  <c r="AH184" i="9"/>
  <c r="AF256" i="9"/>
  <c r="AE119" i="9"/>
  <c r="AD203" i="9"/>
  <c r="AB38" i="9"/>
  <c r="AA74" i="9"/>
  <c r="Z187" i="9"/>
  <c r="AJ187" i="9"/>
  <c r="AI20" i="9"/>
  <c r="AH215" i="9"/>
  <c r="AF347" i="9"/>
  <c r="AE356" i="9"/>
  <c r="AD36" i="9"/>
  <c r="AB252" i="9"/>
  <c r="AA201" i="9"/>
  <c r="Z266" i="9"/>
  <c r="AJ266" i="9"/>
  <c r="AI10" i="9"/>
  <c r="AH196" i="9"/>
  <c r="AF218" i="9"/>
  <c r="AE186" i="9"/>
  <c r="AD82" i="9"/>
  <c r="AB159" i="9"/>
  <c r="AB50" i="9"/>
  <c r="AA313" i="9"/>
  <c r="Z178" i="9"/>
  <c r="AJ178" i="9"/>
  <c r="AI184" i="9"/>
  <c r="AH256" i="9"/>
  <c r="AF119" i="9"/>
  <c r="AE203" i="9"/>
  <c r="AD38" i="9"/>
  <c r="AB74" i="9"/>
  <c r="AA187" i="9"/>
  <c r="Z20" i="9"/>
  <c r="AJ20" i="9"/>
  <c r="AI215" i="9"/>
  <c r="AH347" i="9"/>
  <c r="AF356" i="9"/>
  <c r="AE36" i="9"/>
  <c r="AD252" i="9"/>
  <c r="AB201" i="9"/>
  <c r="AA266" i="9"/>
  <c r="Z10" i="9"/>
  <c r="AJ10" i="9"/>
  <c r="AI196" i="9"/>
  <c r="AH218" i="9"/>
  <c r="AF186" i="9"/>
  <c r="AE82" i="9"/>
  <c r="AD159" i="9"/>
  <c r="AD50" i="9"/>
  <c r="AB313" i="9"/>
  <c r="AA178" i="9"/>
  <c r="Z184" i="9"/>
  <c r="AJ184" i="9"/>
  <c r="AI256" i="9"/>
  <c r="AH119" i="9"/>
  <c r="AF203" i="9"/>
  <c r="AE38" i="9"/>
  <c r="AD74" i="9"/>
  <c r="AB187" i="9"/>
  <c r="AA20" i="9"/>
  <c r="Z215" i="9"/>
  <c r="AJ215" i="9"/>
  <c r="AI347" i="9"/>
  <c r="AH356" i="9"/>
  <c r="AF36" i="9"/>
  <c r="AE252" i="9"/>
  <c r="AD201" i="9"/>
  <c r="AB266" i="9"/>
  <c r="AA10" i="9"/>
  <c r="Z196" i="9"/>
  <c r="AJ196" i="9"/>
  <c r="AI218" i="9"/>
  <c r="AH186" i="9"/>
  <c r="AF82" i="9"/>
  <c r="AE159" i="9"/>
  <c r="AD128" i="9"/>
  <c r="AB144" i="9"/>
  <c r="AA111" i="9"/>
  <c r="Z240" i="9"/>
  <c r="AJ240" i="9"/>
  <c r="AI91" i="9"/>
  <c r="AH162" i="9"/>
  <c r="AF173" i="9"/>
  <c r="AE130" i="9"/>
  <c r="AD234" i="9"/>
  <c r="AB181" i="9"/>
  <c r="AA274" i="9"/>
  <c r="Z286" i="9"/>
  <c r="AJ286" i="9"/>
  <c r="AI265" i="9"/>
  <c r="AD108" i="9"/>
  <c r="AI357" i="9"/>
  <c r="AD64" i="9"/>
  <c r="AI169" i="9"/>
  <c r="AB228" i="9"/>
  <c r="AH316" i="9"/>
  <c r="AB335" i="9"/>
  <c r="AF264" i="9"/>
  <c r="Z52" i="9"/>
  <c r="AE50" i="9"/>
  <c r="AD313" i="9"/>
  <c r="AB178" i="9"/>
  <c r="AA184" i="9"/>
  <c r="Z256" i="9"/>
  <c r="AJ256" i="9"/>
  <c r="AI119" i="9"/>
  <c r="AH203" i="9"/>
  <c r="AF38" i="9"/>
  <c r="AE74" i="9"/>
  <c r="AD187" i="9"/>
  <c r="AB20" i="9"/>
  <c r="AA215" i="9"/>
  <c r="Z347" i="9"/>
  <c r="AJ347" i="9"/>
  <c r="AI356" i="9"/>
  <c r="AH36" i="9"/>
  <c r="AF252" i="9"/>
  <c r="AE201" i="9"/>
  <c r="AD266" i="9"/>
  <c r="AB10" i="9"/>
  <c r="AA196" i="9"/>
  <c r="Z218" i="9"/>
  <c r="AJ218" i="9"/>
  <c r="AI186" i="9"/>
  <c r="AH82" i="9"/>
  <c r="AF159" i="9"/>
  <c r="AE128" i="9"/>
  <c r="AD144" i="9"/>
  <c r="AB111" i="9"/>
  <c r="AA240" i="9"/>
  <c r="Z91" i="9"/>
  <c r="AJ91" i="9"/>
  <c r="AI162" i="9"/>
  <c r="AH173" i="9"/>
  <c r="AF130" i="9"/>
  <c r="AE234" i="9"/>
  <c r="AD181" i="9"/>
  <c r="AB274" i="9"/>
  <c r="AA286" i="9"/>
  <c r="Z265" i="9"/>
  <c r="AJ265" i="9"/>
  <c r="AE108" i="9"/>
  <c r="Z357" i="9"/>
  <c r="AJ357" i="9"/>
  <c r="AE64" i="9"/>
  <c r="Z169" i="9"/>
  <c r="AJ169" i="9"/>
  <c r="AD228" i="9"/>
  <c r="AI316" i="9"/>
  <c r="AD335" i="9"/>
  <c r="AH264" i="9"/>
  <c r="AA52" i="9"/>
  <c r="AF50" i="9"/>
  <c r="AE313" i="9"/>
  <c r="AD178" i="9"/>
  <c r="AB184" i="9"/>
  <c r="AA256" i="9"/>
  <c r="Z119" i="9"/>
  <c r="AJ119" i="9"/>
  <c r="AI203" i="9"/>
  <c r="AH38" i="9"/>
  <c r="AF74" i="9"/>
  <c r="AE187" i="9"/>
  <c r="AD20" i="9"/>
  <c r="AB215" i="9"/>
  <c r="AA347" i="9"/>
  <c r="Z356" i="9"/>
  <c r="AJ356" i="9"/>
  <c r="AI36" i="9"/>
  <c r="AH252" i="9"/>
  <c r="AF201" i="9"/>
  <c r="AE266" i="9"/>
  <c r="AD10" i="9"/>
  <c r="AB196" i="9"/>
  <c r="AA218" i="9"/>
  <c r="Z186" i="9"/>
  <c r="AJ186" i="9"/>
  <c r="AI82" i="9"/>
  <c r="AH159" i="9"/>
  <c r="AF128" i="9"/>
  <c r="AE144" i="9"/>
  <c r="AD111" i="9"/>
  <c r="AB240" i="9"/>
  <c r="AA91" i="9"/>
  <c r="Z162" i="9"/>
  <c r="AJ162" i="9"/>
  <c r="AI173" i="9"/>
  <c r="AH130" i="9"/>
  <c r="AF234" i="9"/>
  <c r="AE181" i="9"/>
  <c r="AD274" i="9"/>
  <c r="AB286" i="9"/>
  <c r="AA265" i="9"/>
  <c r="AF108" i="9"/>
  <c r="AA357" i="9"/>
  <c r="AF64" i="9"/>
  <c r="AA169" i="9"/>
  <c r="AE228" i="9"/>
  <c r="Z316" i="9"/>
  <c r="AJ316" i="9"/>
  <c r="AE335" i="9"/>
  <c r="AI264" i="9"/>
  <c r="AH50" i="9"/>
  <c r="AF313" i="9"/>
  <c r="AE178" i="9"/>
  <c r="AD184" i="9"/>
  <c r="AB256" i="9"/>
  <c r="AA119" i="9"/>
  <c r="Z203" i="9"/>
  <c r="AJ203" i="9"/>
  <c r="AI38" i="9"/>
  <c r="AH74" i="9"/>
  <c r="AF187" i="9"/>
  <c r="AE20" i="9"/>
  <c r="AD215" i="9"/>
  <c r="AB347" i="9"/>
  <c r="AA356" i="9"/>
  <c r="Z36" i="9"/>
  <c r="AJ36" i="9"/>
  <c r="AI252" i="9"/>
  <c r="AH201" i="9"/>
  <c r="AF266" i="9"/>
  <c r="AE10" i="9"/>
  <c r="AD196" i="9"/>
  <c r="AB218" i="9"/>
  <c r="AA186" i="9"/>
  <c r="Z82" i="9"/>
  <c r="AJ82" i="9"/>
  <c r="AI159" i="9"/>
  <c r="AH128" i="9"/>
  <c r="AF144" i="9"/>
  <c r="AE111" i="9"/>
  <c r="AD240" i="9"/>
  <c r="AB91" i="9"/>
  <c r="AA162" i="9"/>
  <c r="Z173" i="9"/>
  <c r="AJ173" i="9"/>
  <c r="AI130" i="9"/>
  <c r="AH234" i="9"/>
  <c r="AF181" i="9"/>
  <c r="AE274" i="9"/>
  <c r="AD286" i="9"/>
  <c r="AB265" i="9"/>
  <c r="AH108" i="9"/>
  <c r="AB357" i="9"/>
  <c r="AH64" i="9"/>
  <c r="AB169" i="9"/>
  <c r="AF228" i="9"/>
  <c r="AA316" i="9"/>
  <c r="AF335" i="9"/>
  <c r="Z264" i="9"/>
  <c r="AJ264" i="9"/>
  <c r="AD52" i="9"/>
  <c r="AI50" i="9"/>
  <c r="AJ38" i="9"/>
  <c r="Z252" i="9"/>
  <c r="AA82" i="9"/>
  <c r="AH144" i="9"/>
  <c r="AI240" i="9"/>
  <c r="AD173" i="9"/>
  <c r="AI234" i="9"/>
  <c r="AJ274" i="9"/>
  <c r="AF357" i="9"/>
  <c r="AB316" i="9"/>
  <c r="AJ335" i="9"/>
  <c r="AE264" i="9"/>
  <c r="AF138" i="9"/>
  <c r="AA233" i="9"/>
  <c r="AF158" i="9"/>
  <c r="AA41" i="9"/>
  <c r="AE35" i="9"/>
  <c r="Z247" i="9"/>
  <c r="AJ247" i="9"/>
  <c r="AE49" i="9"/>
  <c r="Z282" i="9"/>
  <c r="AJ282" i="9"/>
  <c r="AE291" i="9"/>
  <c r="Z33" i="9"/>
  <c r="AJ33" i="9"/>
  <c r="AH313" i="9"/>
  <c r="AI74" i="9"/>
  <c r="AJ252" i="9"/>
  <c r="Z159" i="9"/>
  <c r="AJ144" i="9"/>
  <c r="AD91" i="9"/>
  <c r="AE173" i="9"/>
  <c r="Z181" i="9"/>
  <c r="AE286" i="9"/>
  <c r="AA108" i="9"/>
  <c r="AH357" i="9"/>
  <c r="AE316" i="9"/>
  <c r="AB52" i="9"/>
  <c r="AH138" i="9"/>
  <c r="AB233" i="9"/>
  <c r="AH158" i="9"/>
  <c r="AB41" i="9"/>
  <c r="AF35" i="9"/>
  <c r="AA247" i="9"/>
  <c r="AF49" i="9"/>
  <c r="AA282" i="9"/>
  <c r="AF291" i="9"/>
  <c r="AF178" i="9"/>
  <c r="AH187" i="9"/>
  <c r="AI201" i="9"/>
  <c r="AJ159" i="9"/>
  <c r="Z111" i="9"/>
  <c r="AF91" i="9"/>
  <c r="Z130" i="9"/>
  <c r="AA181" i="9"/>
  <c r="AH286" i="9"/>
  <c r="AB108" i="9"/>
  <c r="AD169" i="9"/>
  <c r="Z228" i="9"/>
  <c r="AF316" i="9"/>
  <c r="AE52" i="9"/>
  <c r="AI138" i="9"/>
  <c r="AD233" i="9"/>
  <c r="AI158" i="9"/>
  <c r="AD41" i="9"/>
  <c r="AH35" i="9"/>
  <c r="AB247" i="9"/>
  <c r="AH49" i="9"/>
  <c r="AE184" i="9"/>
  <c r="AF20" i="9"/>
  <c r="AH266" i="9"/>
  <c r="AA128" i="9"/>
  <c r="AF111" i="9"/>
  <c r="AH91" i="9"/>
  <c r="AB130" i="9"/>
  <c r="AH181" i="9"/>
  <c r="AI286" i="9"/>
  <c r="AI108" i="9"/>
  <c r="AF169" i="9"/>
  <c r="AA228" i="9"/>
  <c r="AF52" i="9"/>
  <c r="Z138" i="9"/>
  <c r="AJ138" i="9"/>
  <c r="AE233" i="9"/>
  <c r="Z158" i="9"/>
  <c r="AJ158" i="9"/>
  <c r="AE41" i="9"/>
  <c r="AI35" i="9"/>
  <c r="AD247" i="9"/>
  <c r="AI49" i="9"/>
  <c r="AD282" i="9"/>
  <c r="AI291" i="9"/>
  <c r="AD33" i="9"/>
  <c r="AI42" i="9"/>
  <c r="AB127" i="9"/>
  <c r="AD256" i="9"/>
  <c r="AE215" i="9"/>
  <c r="AF10" i="9"/>
  <c r="AB128" i="9"/>
  <c r="AI111" i="9"/>
  <c r="AB162" i="9"/>
  <c r="AD130" i="9"/>
  <c r="AJ181" i="9"/>
  <c r="AD265" i="9"/>
  <c r="AA64" i="9"/>
  <c r="AH169" i="9"/>
  <c r="AH228" i="9"/>
  <c r="AH52" i="9"/>
  <c r="AA138" i="9"/>
  <c r="AF233" i="9"/>
  <c r="AA158" i="9"/>
  <c r="AF41" i="9"/>
  <c r="Z35" i="9"/>
  <c r="AJ35" i="9"/>
  <c r="AE247" i="9"/>
  <c r="Z49" i="9"/>
  <c r="AJ49" i="9"/>
  <c r="AE282" i="9"/>
  <c r="Z291" i="9"/>
  <c r="AJ291" i="9"/>
  <c r="AE33" i="9"/>
  <c r="AB119" i="9"/>
  <c r="AD347" i="9"/>
  <c r="AE196" i="9"/>
  <c r="AI128" i="9"/>
  <c r="AJ111" i="9"/>
  <c r="AE162" i="9"/>
  <c r="AJ130" i="9"/>
  <c r="Z274" i="9"/>
  <c r="AF265" i="9"/>
  <c r="AB64" i="9"/>
  <c r="AJ228" i="9"/>
  <c r="Z335" i="9"/>
  <c r="AI52" i="9"/>
  <c r="AB138" i="9"/>
  <c r="AH233" i="9"/>
  <c r="AB158" i="9"/>
  <c r="AH41" i="9"/>
  <c r="AA35" i="9"/>
  <c r="AF247" i="9"/>
  <c r="AA49" i="9"/>
  <c r="AF282" i="9"/>
  <c r="AA291" i="9"/>
  <c r="AA203" i="9"/>
  <c r="AB356" i="9"/>
  <c r="AD218" i="9"/>
  <c r="Z144" i="9"/>
  <c r="AE240" i="9"/>
  <c r="AF162" i="9"/>
  <c r="AA234" i="9"/>
  <c r="AF274" i="9"/>
  <c r="AH265" i="9"/>
  <c r="AI64" i="9"/>
  <c r="AA335" i="9"/>
  <c r="AA264" i="9"/>
  <c r="AJ52" i="9"/>
  <c r="AD138" i="9"/>
  <c r="AI233" i="9"/>
  <c r="AD158" i="9"/>
  <c r="AI41" i="9"/>
  <c r="AB35" i="9"/>
  <c r="AH247" i="9"/>
  <c r="AB49" i="9"/>
  <c r="AH282" i="9"/>
  <c r="AB291" i="9"/>
  <c r="AH33" i="9"/>
  <c r="AB42" i="9"/>
  <c r="AF127" i="9"/>
  <c r="Z38" i="9"/>
  <c r="AI282" i="9"/>
  <c r="AD291" i="9"/>
  <c r="AA33" i="9"/>
  <c r="AA42" i="9"/>
  <c r="Z284" i="9"/>
  <c r="AJ284" i="9"/>
  <c r="AD171" i="9"/>
  <c r="AI315" i="9"/>
  <c r="AD170" i="9"/>
  <c r="AI103" i="9"/>
  <c r="AD27" i="9"/>
  <c r="AI93" i="9"/>
  <c r="AD69" i="9"/>
  <c r="AI191" i="9"/>
  <c r="AE305" i="9"/>
  <c r="Z98" i="9"/>
  <c r="AJ98" i="9"/>
  <c r="AD95" i="9"/>
  <c r="AI205" i="9"/>
  <c r="AH213" i="9"/>
  <c r="AF81" i="9"/>
  <c r="AE336" i="9"/>
  <c r="AD43" i="9"/>
  <c r="AA36" i="9"/>
  <c r="AD35" i="9"/>
  <c r="AH291" i="9"/>
  <c r="AB33" i="9"/>
  <c r="AD42" i="9"/>
  <c r="Z127" i="9"/>
  <c r="AA284" i="9"/>
  <c r="AE171" i="9"/>
  <c r="Z315" i="9"/>
  <c r="AJ315" i="9"/>
  <c r="AE170" i="9"/>
  <c r="Z103" i="9"/>
  <c r="AJ103" i="9"/>
  <c r="AE27" i="9"/>
  <c r="Z93" i="9"/>
  <c r="AJ93" i="9"/>
  <c r="AE69" i="9"/>
  <c r="Z191" i="9"/>
  <c r="AJ191" i="9"/>
  <c r="AF305" i="9"/>
  <c r="AA98" i="9"/>
  <c r="AE95" i="9"/>
  <c r="AB186" i="9"/>
  <c r="Z233" i="9"/>
  <c r="AD49" i="9"/>
  <c r="AF33" i="9"/>
  <c r="AE42" i="9"/>
  <c r="AA127" i="9"/>
  <c r="AB284" i="9"/>
  <c r="AF171" i="9"/>
  <c r="AA315" i="9"/>
  <c r="AF170" i="9"/>
  <c r="AA103" i="9"/>
  <c r="AF27" i="9"/>
  <c r="AA93" i="9"/>
  <c r="AF69" i="9"/>
  <c r="AA191" i="9"/>
  <c r="AH305" i="9"/>
  <c r="AB98" i="9"/>
  <c r="AF95" i="9"/>
  <c r="AA144" i="9"/>
  <c r="AD357" i="9"/>
  <c r="AJ233" i="9"/>
  <c r="Z41" i="9"/>
  <c r="AI33" i="9"/>
  <c r="AF42" i="9"/>
  <c r="AD127" i="9"/>
  <c r="AD284" i="9"/>
  <c r="AH171" i="9"/>
  <c r="AB315" i="9"/>
  <c r="AH170" i="9"/>
  <c r="AB103" i="9"/>
  <c r="AH27" i="9"/>
  <c r="AB93" i="9"/>
  <c r="AH69" i="9"/>
  <c r="AB191" i="9"/>
  <c r="AI305" i="9"/>
  <c r="AD98" i="9"/>
  <c r="AH95" i="9"/>
  <c r="AB205" i="9"/>
  <c r="AA213" i="9"/>
  <c r="Z81" i="9"/>
  <c r="AJ81" i="9"/>
  <c r="AI336" i="9"/>
  <c r="AH43" i="9"/>
  <c r="AF123" i="9"/>
  <c r="AE48" i="9"/>
  <c r="AH240" i="9"/>
  <c r="AH335" i="9"/>
  <c r="AJ41" i="9"/>
  <c r="AH42" i="9"/>
  <c r="AE127" i="9"/>
  <c r="AE284" i="9"/>
  <c r="AI171" i="9"/>
  <c r="AD315" i="9"/>
  <c r="AI170" i="9"/>
  <c r="AD103" i="9"/>
  <c r="AI27" i="9"/>
  <c r="AD93" i="9"/>
  <c r="AI69" i="9"/>
  <c r="AD191" i="9"/>
  <c r="Z305" i="9"/>
  <c r="AJ305" i="9"/>
  <c r="AE98" i="9"/>
  <c r="AI95" i="9"/>
  <c r="AD205" i="9"/>
  <c r="AB213" i="9"/>
  <c r="AA81" i="9"/>
  <c r="Z336" i="9"/>
  <c r="AJ336" i="9"/>
  <c r="AI43" i="9"/>
  <c r="AA173" i="9"/>
  <c r="AJ42" i="9"/>
  <c r="AH127" i="9"/>
  <c r="AF284" i="9"/>
  <c r="Z171" i="9"/>
  <c r="AJ171" i="9"/>
  <c r="AE315" i="9"/>
  <c r="Z170" i="9"/>
  <c r="AJ170" i="9"/>
  <c r="AE103" i="9"/>
  <c r="Z27" i="9"/>
  <c r="AJ27" i="9"/>
  <c r="AE93" i="9"/>
  <c r="Z69" i="9"/>
  <c r="AJ69" i="9"/>
  <c r="AE191" i="9"/>
  <c r="AA305" i="9"/>
  <c r="AF98" i="9"/>
  <c r="Z95" i="9"/>
  <c r="AJ95" i="9"/>
  <c r="AE205" i="9"/>
  <c r="AD213" i="9"/>
  <c r="AB81" i="9"/>
  <c r="AA336" i="9"/>
  <c r="Z43" i="9"/>
  <c r="AJ43" i="9"/>
  <c r="AI123" i="9"/>
  <c r="AB234" i="9"/>
  <c r="AD264" i="9"/>
  <c r="AE138" i="9"/>
  <c r="AI247" i="9"/>
  <c r="AI127" i="9"/>
  <c r="AH284" i="9"/>
  <c r="AA171" i="9"/>
  <c r="AF315" i="9"/>
  <c r="AA170" i="9"/>
  <c r="AF103" i="9"/>
  <c r="AA27" i="9"/>
  <c r="AF93" i="9"/>
  <c r="AA69" i="9"/>
  <c r="AF191" i="9"/>
  <c r="AB305" i="9"/>
  <c r="AH98" i="9"/>
  <c r="AA95" i="9"/>
  <c r="AI97" i="9"/>
  <c r="AJ327" i="9"/>
  <c r="Z327" i="9"/>
  <c r="AA235" i="9"/>
  <c r="AB246" i="9"/>
  <c r="AD308" i="9"/>
  <c r="AE152" i="9"/>
  <c r="AF280" i="9"/>
  <c r="AH254" i="9"/>
  <c r="AI17" i="9"/>
  <c r="AJ48" i="9"/>
  <c r="AJ123" i="9"/>
  <c r="AE43" i="9"/>
  <c r="AH81" i="9"/>
  <c r="AJ205" i="9"/>
  <c r="AB170" i="9"/>
  <c r="Z42" i="9"/>
  <c r="AE246" i="9"/>
  <c r="Z254" i="9"/>
  <c r="AI284" i="9"/>
  <c r="AH97" i="9"/>
  <c r="AI327" i="9"/>
  <c r="AJ235" i="9"/>
  <c r="Z235" i="9"/>
  <c r="AA246" i="9"/>
  <c r="AB308" i="9"/>
  <c r="AD152" i="9"/>
  <c r="AE280" i="9"/>
  <c r="AF254" i="9"/>
  <c r="AH17" i="9"/>
  <c r="AI48" i="9"/>
  <c r="AH123" i="9"/>
  <c r="AB43" i="9"/>
  <c r="AE81" i="9"/>
  <c r="AH205" i="9"/>
  <c r="AI98" i="9"/>
  <c r="AH191" i="9"/>
  <c r="AB171" i="9"/>
  <c r="AE158" i="9"/>
  <c r="AA97" i="9"/>
  <c r="AF308" i="9"/>
  <c r="AI280" i="9"/>
  <c r="AA48" i="9"/>
  <c r="AB336" i="9"/>
  <c r="AD305" i="9"/>
  <c r="AF97" i="9"/>
  <c r="AH327" i="9"/>
  <c r="AI235" i="9"/>
  <c r="AJ246" i="9"/>
  <c r="Z246" i="9"/>
  <c r="AA308" i="9"/>
  <c r="AB152" i="9"/>
  <c r="AD280" i="9"/>
  <c r="AE254" i="9"/>
  <c r="AF17" i="9"/>
  <c r="AH48" i="9"/>
  <c r="AE123" i="9"/>
  <c r="AA43" i="9"/>
  <c r="AD81" i="9"/>
  <c r="AF205" i="9"/>
  <c r="AH93" i="9"/>
  <c r="AE97" i="9"/>
  <c r="AF327" i="9"/>
  <c r="AH235" i="9"/>
  <c r="AI246" i="9"/>
  <c r="AJ308" i="9"/>
  <c r="Z308" i="9"/>
  <c r="AA152" i="9"/>
  <c r="AB280" i="9"/>
  <c r="AD254" i="9"/>
  <c r="AE17" i="9"/>
  <c r="AF48" i="9"/>
  <c r="AD123" i="9"/>
  <c r="AH336" i="9"/>
  <c r="AJ213" i="9"/>
  <c r="AA205" i="9"/>
  <c r="AH103" i="9"/>
  <c r="AJ127" i="9"/>
  <c r="AD235" i="9"/>
  <c r="AA17" i="9"/>
  <c r="AD97" i="9"/>
  <c r="AE327" i="9"/>
  <c r="AF235" i="9"/>
  <c r="AH246" i="9"/>
  <c r="AI308" i="9"/>
  <c r="AJ152" i="9"/>
  <c r="Z152" i="9"/>
  <c r="AA280" i="9"/>
  <c r="AB254" i="9"/>
  <c r="AD17" i="9"/>
  <c r="AD48" i="9"/>
  <c r="AB123" i="9"/>
  <c r="AF336" i="9"/>
  <c r="AI213" i="9"/>
  <c r="Z205" i="9"/>
  <c r="AB95" i="9"/>
  <c r="AH315" i="9"/>
  <c r="AB97" i="9"/>
  <c r="AD327" i="9"/>
  <c r="AE235" i="9"/>
  <c r="AF246" i="9"/>
  <c r="AH308" i="9"/>
  <c r="AI152" i="9"/>
  <c r="AJ280" i="9"/>
  <c r="Z280" i="9"/>
  <c r="AA254" i="9"/>
  <c r="AB17" i="9"/>
  <c r="AB48" i="9"/>
  <c r="AA123" i="9"/>
  <c r="AD336" i="9"/>
  <c r="AF213" i="9"/>
  <c r="AI274" i="9"/>
  <c r="Z322" i="9"/>
  <c r="AA322" i="9"/>
  <c r="AB322" i="9"/>
  <c r="AD322" i="9"/>
  <c r="AE322" i="9"/>
  <c r="AF322" i="9"/>
  <c r="Z99" i="9"/>
  <c r="AA99" i="9"/>
  <c r="AB99" i="9"/>
  <c r="AD99" i="9"/>
  <c r="AE99" i="9"/>
  <c r="AF99" i="9"/>
  <c r="AI260" i="9"/>
  <c r="AD222" i="9"/>
  <c r="AF260" i="9"/>
  <c r="AE260" i="9"/>
  <c r="AD260" i="9"/>
  <c r="AB260" i="9"/>
  <c r="Z204" i="9"/>
  <c r="AA260" i="9"/>
  <c r="AJ260" i="9"/>
  <c r="Z260" i="9"/>
  <c r="AJ15" i="9"/>
  <c r="AI301" i="9"/>
  <c r="AJ68" i="9"/>
  <c r="AF83" i="9"/>
  <c r="AJ200" i="9"/>
  <c r="AI157" i="9"/>
  <c r="AJ343" i="9"/>
  <c r="AJ309" i="9"/>
  <c r="AJ301" i="9"/>
  <c r="AD165" i="9"/>
  <c r="AH243" i="9"/>
  <c r="AH295" i="9"/>
  <c r="AH83" i="9"/>
  <c r="AF225" i="9"/>
  <c r="AF89" i="9"/>
  <c r="AA295" i="9"/>
  <c r="AB323" i="9"/>
  <c r="AF96" i="9"/>
  <c r="AF141" i="9"/>
  <c r="AB204" i="9"/>
  <c r="AJ89" i="9"/>
  <c r="AE68" i="9"/>
  <c r="AI279" i="9"/>
  <c r="AA207" i="9"/>
  <c r="AH104" i="9"/>
  <c r="AJ226" i="9"/>
  <c r="AF164" i="9"/>
  <c r="AI272" i="9"/>
  <c r="AJ75" i="9"/>
  <c r="AJ349" i="9"/>
  <c r="AF53" i="9"/>
  <c r="AH13" i="9"/>
  <c r="AA326" i="9"/>
  <c r="AB23" i="9"/>
  <c r="Z56" i="9"/>
  <c r="AI104" i="9"/>
  <c r="AI164" i="9"/>
  <c r="AI59" i="9"/>
  <c r="AJ225" i="9"/>
  <c r="AB237" i="9"/>
  <c r="AF326" i="9"/>
  <c r="Z319" i="9"/>
  <c r="AB259" i="9"/>
  <c r="Z323" i="9"/>
  <c r="AD96" i="9"/>
  <c r="AJ321" i="9"/>
  <c r="AB132" i="9"/>
  <c r="AE125" i="9"/>
  <c r="Z15" i="9"/>
  <c r="AB53" i="9"/>
  <c r="AB165" i="9"/>
  <c r="Z157" i="9"/>
  <c r="AJ23" i="9"/>
  <c r="AE319" i="9"/>
  <c r="AF185" i="9"/>
  <c r="Z14" i="9"/>
  <c r="AA122" i="9"/>
  <c r="AB83" i="9"/>
  <c r="AF200" i="9"/>
  <c r="AB326" i="9"/>
  <c r="AB78" i="9"/>
  <c r="AD54" i="9"/>
  <c r="AF204" i="9"/>
  <c r="AJ83" i="9"/>
  <c r="AA15" i="9"/>
  <c r="AD309" i="9"/>
  <c r="AE165" i="9"/>
  <c r="AF157" i="9"/>
  <c r="Z55" i="9"/>
  <c r="AB207" i="9"/>
  <c r="Z23" i="9"/>
  <c r="AA56" i="9"/>
  <c r="AD78" i="9"/>
  <c r="AD259" i="9"/>
  <c r="AA323" i="9"/>
  <c r="AE54" i="9"/>
  <c r="AI96" i="9"/>
  <c r="AF14" i="9"/>
  <c r="AB227" i="9"/>
  <c r="Z31" i="9"/>
  <c r="AH257" i="9"/>
  <c r="AD132" i="9"/>
  <c r="AD348" i="9"/>
  <c r="AH204" i="9"/>
  <c r="AB200" i="9"/>
  <c r="Z225" i="9"/>
  <c r="AB15" i="9"/>
  <c r="AE89" i="9"/>
  <c r="AI309" i="9"/>
  <c r="AD13" i="9"/>
  <c r="AF68" i="9"/>
  <c r="AA279" i="9"/>
  <c r="AJ157" i="9"/>
  <c r="AE55" i="9"/>
  <c r="AF207" i="9"/>
  <c r="Z243" i="9"/>
  <c r="AB56" i="9"/>
  <c r="AF211" i="9"/>
  <c r="AF78" i="9"/>
  <c r="AB104" i="9"/>
  <c r="AH185" i="9"/>
  <c r="AA90" i="9"/>
  <c r="AI73" i="9"/>
  <c r="AH54" i="9"/>
  <c r="AE306" i="9"/>
  <c r="AH32" i="9"/>
  <c r="AF31" i="9"/>
  <c r="AJ59" i="9"/>
  <c r="AF311" i="9"/>
  <c r="AA225" i="9"/>
  <c r="AD15" i="9"/>
  <c r="AI89" i="9"/>
  <c r="AE309" i="9"/>
  <c r="AB301" i="9"/>
  <c r="AH68" i="9"/>
  <c r="AE279" i="9"/>
  <c r="AB343" i="9"/>
  <c r="AJ207" i="9"/>
  <c r="AF243" i="9"/>
  <c r="AF56" i="9"/>
  <c r="AJ211" i="9"/>
  <c r="AB319" i="9"/>
  <c r="AI185" i="9"/>
  <c r="AH259" i="9"/>
  <c r="AF90" i="9"/>
  <c r="AA164" i="9"/>
  <c r="Z73" i="9"/>
  <c r="Z96" i="9"/>
  <c r="AH306" i="9"/>
  <c r="Z32" i="9"/>
  <c r="AB120" i="9"/>
  <c r="AF105" i="9"/>
  <c r="AB310" i="9"/>
  <c r="AE189" i="9"/>
  <c r="AF37" i="9"/>
  <c r="AE177" i="9"/>
  <c r="AE290" i="9"/>
  <c r="AI320" i="9"/>
  <c r="AB167" i="9"/>
  <c r="AD204" i="9"/>
  <c r="AI200" i="9"/>
  <c r="AE225" i="9"/>
  <c r="AE15" i="9"/>
  <c r="AB89" i="9"/>
  <c r="AF309" i="9"/>
  <c r="AF301" i="9"/>
  <c r="AJ279" i="9"/>
  <c r="AJ237" i="9"/>
  <c r="AI343" i="9"/>
  <c r="Z207" i="9"/>
  <c r="AJ243" i="9"/>
  <c r="AE78" i="9"/>
  <c r="Z226" i="9"/>
  <c r="AI90" i="9"/>
  <c r="AB164" i="9"/>
  <c r="AE73" i="9"/>
  <c r="AD272" i="9"/>
  <c r="AA306" i="9"/>
  <c r="AD32" i="9"/>
  <c r="AJ217" i="9"/>
  <c r="AD164" i="9"/>
  <c r="AB54" i="9"/>
  <c r="AJ272" i="9"/>
  <c r="AB306" i="9"/>
  <c r="AA14" i="9"/>
  <c r="AJ289" i="9"/>
  <c r="AF177" i="9"/>
  <c r="AE132" i="9"/>
  <c r="AI285" i="9"/>
  <c r="Z268" i="9"/>
  <c r="AE337" i="9"/>
  <c r="AH164" i="9"/>
  <c r="AF54" i="9"/>
  <c r="AA96" i="9"/>
  <c r="AB272" i="9"/>
  <c r="AD306" i="9"/>
  <c r="AE14" i="9"/>
  <c r="AI120" i="9"/>
  <c r="AJ310" i="9"/>
  <c r="AB26" i="9"/>
  <c r="AF352" i="9"/>
  <c r="AB156" i="9"/>
  <c r="AB225" i="9"/>
  <c r="AF15" i="9"/>
  <c r="AI53" i="9"/>
  <c r="AF13" i="9"/>
  <c r="AB68" i="9"/>
  <c r="AF279" i="9"/>
  <c r="AJ165" i="9"/>
  <c r="AF343" i="9"/>
  <c r="AI326" i="9"/>
  <c r="AF23" i="9"/>
  <c r="AJ56" i="9"/>
  <c r="Z295" i="9"/>
  <c r="AA78" i="9"/>
  <c r="AA319" i="9"/>
  <c r="AB185" i="9"/>
  <c r="AH323" i="9"/>
  <c r="AJ337" i="9"/>
  <c r="AJ54" i="9"/>
  <c r="AB96" i="9"/>
  <c r="AE272" i="9"/>
  <c r="AF306" i="9"/>
  <c r="AJ14" i="9"/>
  <c r="Z141" i="9"/>
  <c r="AF182" i="9"/>
  <c r="AD156" i="9"/>
  <c r="AI211" i="9"/>
  <c r="AH290" i="9"/>
  <c r="AI290" i="9"/>
  <c r="AH8" i="9"/>
  <c r="AI8" i="9"/>
  <c r="AB102" i="9"/>
  <c r="AI83" i="9"/>
  <c r="Z89" i="9"/>
  <c r="AB309" i="9"/>
  <c r="AB13" i="9"/>
  <c r="Z301" i="9"/>
  <c r="AB279" i="9"/>
  <c r="AF165" i="9"/>
  <c r="AE157" i="9"/>
  <c r="AJ55" i="9"/>
  <c r="AH326" i="9"/>
  <c r="AD207" i="9"/>
  <c r="AA23" i="9"/>
  <c r="AI243" i="9"/>
  <c r="AE56" i="9"/>
  <c r="AD295" i="9"/>
  <c r="AJ319" i="9"/>
  <c r="AJ185" i="9"/>
  <c r="AF226" i="9"/>
  <c r="AJ259" i="9"/>
  <c r="Z90" i="9"/>
  <c r="AJ164" i="9"/>
  <c r="AE32" i="9"/>
  <c r="AI321" i="9"/>
  <c r="AD120" i="9"/>
  <c r="Z105" i="9"/>
  <c r="Z310" i="9"/>
  <c r="AA37" i="9"/>
  <c r="AD257" i="9"/>
  <c r="Z26" i="9"/>
  <c r="AE182" i="9"/>
  <c r="AA16" i="9"/>
  <c r="AA278" i="9"/>
  <c r="AF223" i="9"/>
  <c r="AE223" i="9"/>
  <c r="AD223" i="9"/>
  <c r="AF342" i="9"/>
  <c r="AA307" i="9"/>
  <c r="AD45" i="9"/>
  <c r="AE45" i="9"/>
  <c r="AI209" i="9"/>
  <c r="AJ209" i="9"/>
  <c r="AH53" i="9"/>
  <c r="Z83" i="9"/>
  <c r="AA55" i="9"/>
  <c r="AJ326" i="9"/>
  <c r="AE207" i="9"/>
  <c r="AE295" i="9"/>
  <c r="Z185" i="9"/>
  <c r="AD323" i="9"/>
  <c r="AE90" i="9"/>
  <c r="Z321" i="9"/>
  <c r="AA31" i="9"/>
  <c r="AA105" i="9"/>
  <c r="AD118" i="9"/>
  <c r="AA310" i="9"/>
  <c r="AH331" i="9"/>
  <c r="AB141" i="9"/>
  <c r="AF189" i="9"/>
  <c r="AD289" i="9"/>
  <c r="AB37" i="9"/>
  <c r="Z75" i="9"/>
  <c r="AE257" i="9"/>
  <c r="AB177" i="9"/>
  <c r="AH182" i="9"/>
  <c r="Z348" i="9"/>
  <c r="AB348" i="9"/>
  <c r="AB16" i="9"/>
  <c r="AE217" i="9"/>
  <c r="AB285" i="9"/>
  <c r="AI122" i="9"/>
  <c r="AE86" i="9"/>
  <c r="AD86" i="9"/>
  <c r="AB143" i="9"/>
  <c r="AI342" i="9"/>
  <c r="AJ342" i="9"/>
  <c r="AH342" i="9"/>
  <c r="AJ253" i="9"/>
  <c r="AH253" i="9"/>
  <c r="AD182" i="9"/>
  <c r="AA301" i="9"/>
  <c r="AA83" i="9"/>
  <c r="Z165" i="9"/>
  <c r="AA237" i="9"/>
  <c r="AA157" i="9"/>
  <c r="AD343" i="9"/>
  <c r="AB55" i="9"/>
  <c r="AE23" i="9"/>
  <c r="AD56" i="9"/>
  <c r="AJ78" i="9"/>
  <c r="AF319" i="9"/>
  <c r="AF104" i="9"/>
  <c r="AA185" i="9"/>
  <c r="AA226" i="9"/>
  <c r="AI259" i="9"/>
  <c r="AE323" i="9"/>
  <c r="AB73" i="9"/>
  <c r="Z54" i="9"/>
  <c r="Z272" i="9"/>
  <c r="Z306" i="9"/>
  <c r="AA32" i="9"/>
  <c r="AF227" i="9"/>
  <c r="AB31" i="9"/>
  <c r="AE118" i="9"/>
  <c r="AH59" i="9"/>
  <c r="AD141" i="9"/>
  <c r="AD37" i="9"/>
  <c r="AD177" i="9"/>
  <c r="AH349" i="9"/>
  <c r="AH352" i="9"/>
  <c r="AD167" i="9"/>
  <c r="AH156" i="9"/>
  <c r="AD71" i="9"/>
  <c r="AD241" i="9"/>
  <c r="AF101" i="9"/>
  <c r="AD101" i="9"/>
  <c r="AF285" i="9"/>
  <c r="AE285" i="9"/>
  <c r="AD125" i="9"/>
  <c r="AB317" i="9"/>
  <c r="AA317" i="9"/>
  <c r="AF25" i="9"/>
  <c r="AE25" i="9"/>
  <c r="AD25" i="9"/>
  <c r="AB124" i="9"/>
  <c r="AI263" i="9"/>
  <c r="AJ263" i="9"/>
  <c r="AB269" i="9"/>
  <c r="AJ139" i="9"/>
  <c r="AE200" i="9"/>
  <c r="AI225" i="9"/>
  <c r="AA53" i="9"/>
  <c r="AA89" i="9"/>
  <c r="Z13" i="9"/>
  <c r="AD301" i="9"/>
  <c r="AI68" i="9"/>
  <c r="Z279" i="9"/>
  <c r="AA165" i="9"/>
  <c r="AF237" i="9"/>
  <c r="AB157" i="9"/>
  <c r="AE343" i="9"/>
  <c r="AH55" i="9"/>
  <c r="AB295" i="9"/>
  <c r="AA211" i="9"/>
  <c r="Z78" i="9"/>
  <c r="AI319" i="9"/>
  <c r="AJ104" i="9"/>
  <c r="AE226" i="9"/>
  <c r="AB337" i="9"/>
  <c r="Z164" i="9"/>
  <c r="AF73" i="9"/>
  <c r="AA54" i="9"/>
  <c r="AJ96" i="9"/>
  <c r="AI227" i="9"/>
  <c r="AD31" i="9"/>
  <c r="AE120" i="9"/>
  <c r="AD310" i="9"/>
  <c r="AF222" i="9"/>
  <c r="AA331" i="9"/>
  <c r="AE141" i="9"/>
  <c r="AH289" i="9"/>
  <c r="Z255" i="9"/>
  <c r="AI349" i="9"/>
  <c r="Z134" i="9"/>
  <c r="AE281" i="9"/>
  <c r="Z11" i="9"/>
  <c r="AJ153" i="9"/>
  <c r="AJ239" i="9"/>
  <c r="AI239" i="9"/>
  <c r="AH239" i="9"/>
  <c r="AB30" i="9"/>
  <c r="AA30" i="9"/>
  <c r="AI337" i="9"/>
  <c r="AD83" i="9"/>
  <c r="AH301" i="9"/>
  <c r="AD185" i="9"/>
  <c r="AI323" i="9"/>
  <c r="AE31" i="9"/>
  <c r="AI80" i="9"/>
  <c r="AJ80" i="9"/>
  <c r="AH80" i="9"/>
  <c r="AD84" i="9"/>
  <c r="AF84" i="9"/>
  <c r="AE84" i="9"/>
  <c r="AI216" i="9"/>
  <c r="AH216" i="9"/>
  <c r="AJ40" i="9"/>
  <c r="AI40" i="9"/>
  <c r="AH40" i="9"/>
  <c r="AJ168" i="9"/>
  <c r="AH168" i="9"/>
  <c r="AI255" i="9"/>
  <c r="Z67" i="9"/>
  <c r="AI134" i="9"/>
  <c r="AJ134" i="9"/>
  <c r="AH148" i="9"/>
  <c r="AH200" i="9"/>
  <c r="AH237" i="9"/>
  <c r="AH211" i="9"/>
  <c r="AH337" i="9"/>
  <c r="Z289" i="9"/>
  <c r="AJ255" i="9"/>
  <c r="AD290" i="9"/>
  <c r="AH320" i="9"/>
  <c r="AI217" i="9"/>
  <c r="AH217" i="9"/>
  <c r="AD192" i="9"/>
  <c r="AF192" i="9"/>
  <c r="AE192" i="9"/>
  <c r="AJ197" i="9"/>
  <c r="AD67" i="9"/>
  <c r="AF139" i="9"/>
  <c r="AD139" i="9"/>
  <c r="AF117" i="9"/>
  <c r="AH329" i="9"/>
  <c r="AH251" i="9"/>
  <c r="AJ67" i="9"/>
  <c r="AD239" i="9"/>
  <c r="Z72" i="9"/>
  <c r="AI250" i="9"/>
  <c r="AI351" i="9"/>
  <c r="Z342" i="9"/>
  <c r="AE253" i="9"/>
  <c r="AD8" i="9"/>
  <c r="AF131" i="9"/>
  <c r="AE209" i="9"/>
  <c r="AD263" i="9"/>
  <c r="AI268" i="9"/>
  <c r="AJ11" i="9"/>
  <c r="AE239" i="9"/>
  <c r="AA72" i="9"/>
  <c r="AJ351" i="9"/>
  <c r="AI12" i="9"/>
  <c r="AE8" i="9"/>
  <c r="AE263" i="9"/>
  <c r="AJ132" i="9"/>
  <c r="AH287" i="9"/>
  <c r="AE294" i="9"/>
  <c r="AD325" i="9"/>
  <c r="AF121" i="9"/>
  <c r="Z122" i="9"/>
  <c r="AJ333" i="9"/>
  <c r="AE153" i="9"/>
  <c r="AI192" i="9"/>
  <c r="AE325" i="9"/>
  <c r="AJ208" i="9"/>
  <c r="AB281" i="9"/>
  <c r="AF278" i="9"/>
  <c r="AJ121" i="9"/>
  <c r="AJ65" i="9"/>
  <c r="AH307" i="9"/>
  <c r="AE314" i="9"/>
  <c r="AE224" i="9"/>
  <c r="AJ293" i="9"/>
  <c r="AI204" i="9"/>
  <c r="AF321" i="9"/>
  <c r="AD321" i="9"/>
  <c r="AJ13" i="9"/>
  <c r="AI237" i="9"/>
  <c r="AJ31" i="9"/>
  <c r="AH31" i="9"/>
  <c r="AB293" i="9"/>
  <c r="AA293" i="9"/>
  <c r="Z293" i="9"/>
  <c r="AB121" i="9"/>
  <c r="Z121" i="9"/>
  <c r="AA121" i="9"/>
  <c r="Z154" i="9"/>
  <c r="AB154" i="9"/>
  <c r="AA154" i="9"/>
  <c r="AA204" i="9"/>
  <c r="AE83" i="9"/>
  <c r="Z53" i="9"/>
  <c r="AJ53" i="9"/>
  <c r="AD89" i="9"/>
  <c r="AH309" i="9"/>
  <c r="AA13" i="9"/>
  <c r="AE301" i="9"/>
  <c r="Z237" i="9"/>
  <c r="AD157" i="9"/>
  <c r="AH343" i="9"/>
  <c r="AD55" i="9"/>
  <c r="Z326" i="9"/>
  <c r="AH207" i="9"/>
  <c r="AH56" i="9"/>
  <c r="AH78" i="9"/>
  <c r="AE185" i="9"/>
  <c r="AB226" i="9"/>
  <c r="AB90" i="9"/>
  <c r="AE164" i="9"/>
  <c r="AA73" i="9"/>
  <c r="AI54" i="9"/>
  <c r="AE96" i="9"/>
  <c r="AF272" i="9"/>
  <c r="AB32" i="9"/>
  <c r="AB14" i="9"/>
  <c r="Z227" i="9"/>
  <c r="AF120" i="9"/>
  <c r="AI105" i="9"/>
  <c r="AB222" i="9"/>
  <c r="AA222" i="9"/>
  <c r="Z222" i="9"/>
  <c r="AI331" i="9"/>
  <c r="AJ141" i="9"/>
  <c r="AB292" i="9"/>
  <c r="AA292" i="9"/>
  <c r="Z292" i="9"/>
  <c r="AA289" i="9"/>
  <c r="AB257" i="9"/>
  <c r="AA257" i="9"/>
  <c r="Z257" i="9"/>
  <c r="AB349" i="9"/>
  <c r="AA349" i="9"/>
  <c r="Z349" i="9"/>
  <c r="AA348" i="9"/>
  <c r="AE156" i="9"/>
  <c r="AE71" i="9"/>
  <c r="AH16" i="9"/>
  <c r="AB217" i="9"/>
  <c r="AJ285" i="9"/>
  <c r="AF125" i="9"/>
  <c r="AB294" i="9"/>
  <c r="AF60" i="9"/>
  <c r="AF251" i="9"/>
  <c r="AJ298" i="9"/>
  <c r="AJ325" i="9"/>
  <c r="AH325" i="9"/>
  <c r="AI325" i="9"/>
  <c r="AB86" i="9"/>
  <c r="AH278" i="9"/>
  <c r="AI148" i="9"/>
  <c r="AF239" i="9"/>
  <c r="AJ57" i="9"/>
  <c r="AJ143" i="9"/>
  <c r="AJ90" i="9"/>
  <c r="AB118" i="9"/>
  <c r="AA118" i="9"/>
  <c r="Z118" i="9"/>
  <c r="Z200" i="9"/>
  <c r="AD225" i="9"/>
  <c r="AH15" i="9"/>
  <c r="Z68" i="9"/>
  <c r="AD279" i="9"/>
  <c r="AH165" i="9"/>
  <c r="AF55" i="9"/>
  <c r="AI207" i="9"/>
  <c r="AD23" i="9"/>
  <c r="AA243" i="9"/>
  <c r="AI56" i="9"/>
  <c r="Z211" i="9"/>
  <c r="AI78" i="9"/>
  <c r="AD319" i="9"/>
  <c r="Z104" i="9"/>
  <c r="AD226" i="9"/>
  <c r="Z259" i="9"/>
  <c r="AF323" i="9"/>
  <c r="AD90" i="9"/>
  <c r="Z337" i="9"/>
  <c r="AD73" i="9"/>
  <c r="AH96" i="9"/>
  <c r="AH272" i="9"/>
  <c r="AD14" i="9"/>
  <c r="AA227" i="9"/>
  <c r="AA321" i="9"/>
  <c r="AH120" i="9"/>
  <c r="AJ105" i="9"/>
  <c r="AI118" i="9"/>
  <c r="AB59" i="9"/>
  <c r="AJ331" i="9"/>
  <c r="AF292" i="9"/>
  <c r="AE292" i="9"/>
  <c r="AD292" i="9"/>
  <c r="AI189" i="9"/>
  <c r="Z189" i="9"/>
  <c r="AB289" i="9"/>
  <c r="AJ37" i="9"/>
  <c r="AB75" i="9"/>
  <c r="AA26" i="9"/>
  <c r="AD349" i="9"/>
  <c r="AF349" i="9"/>
  <c r="AE349" i="9"/>
  <c r="AJ320" i="9"/>
  <c r="AD352" i="9"/>
  <c r="AI167" i="9"/>
  <c r="AF71" i="9"/>
  <c r="AJ241" i="9"/>
  <c r="AD217" i="9"/>
  <c r="AH285" i="9"/>
  <c r="AA287" i="9"/>
  <c r="Z287" i="9"/>
  <c r="AB287" i="9"/>
  <c r="AJ268" i="9"/>
  <c r="AI84" i="9"/>
  <c r="AH60" i="9"/>
  <c r="Z281" i="9"/>
  <c r="AF11" i="9"/>
  <c r="AI153" i="9"/>
  <c r="AJ220" i="9"/>
  <c r="AI174" i="9"/>
  <c r="AJ101" i="9"/>
  <c r="AI101" i="9"/>
  <c r="AH101" i="9"/>
  <c r="AJ204" i="9"/>
  <c r="AI15" i="9"/>
  <c r="Z309" i="9"/>
  <c r="AI165" i="9"/>
  <c r="Z343" i="9"/>
  <c r="AA104" i="9"/>
  <c r="AA337" i="9"/>
  <c r="AD227" i="9"/>
  <c r="AF59" i="9"/>
  <c r="AE59" i="9"/>
  <c r="AD59" i="9"/>
  <c r="AH310" i="9"/>
  <c r="AI222" i="9"/>
  <c r="Z331" i="9"/>
  <c r="AJ292" i="9"/>
  <c r="AA189" i="9"/>
  <c r="AD75" i="9"/>
  <c r="AJ177" i="9"/>
  <c r="Z290" i="9"/>
  <c r="AB320" i="9"/>
  <c r="AA320" i="9"/>
  <c r="Z320" i="9"/>
  <c r="Z132" i="9"/>
  <c r="AE352" i="9"/>
  <c r="AD311" i="9"/>
  <c r="AH71" i="9"/>
  <c r="AI241" i="9"/>
  <c r="Z241" i="9"/>
  <c r="AJ192" i="9"/>
  <c r="Z285" i="9"/>
  <c r="AF287" i="9"/>
  <c r="AE287" i="9"/>
  <c r="AD287" i="9"/>
  <c r="Z80" i="9"/>
  <c r="AB318" i="9"/>
  <c r="AA197" i="9"/>
  <c r="AJ60" i="9"/>
  <c r="AD251" i="9"/>
  <c r="AA298" i="9"/>
  <c r="AF86" i="9"/>
  <c r="AF208" i="9"/>
  <c r="AF332" i="9"/>
  <c r="AE332" i="9"/>
  <c r="AD332" i="9"/>
  <c r="AH11" i="9"/>
  <c r="AI11" i="9"/>
  <c r="Z153" i="9"/>
  <c r="AB223" i="9"/>
  <c r="AD297" i="9"/>
  <c r="AA220" i="9"/>
  <c r="AD250" i="9"/>
  <c r="AA200" i="9"/>
  <c r="AA68" i="9"/>
  <c r="AB243" i="9"/>
  <c r="AB211" i="9"/>
  <c r="AA259" i="9"/>
  <c r="Z269" i="9"/>
  <c r="Z66" i="9"/>
  <c r="AD209" i="9"/>
  <c r="AE302" i="9"/>
  <c r="AD314" i="9"/>
  <c r="AD131" i="9"/>
  <c r="AI102" i="9"/>
  <c r="AF155" i="9"/>
  <c r="AF102" i="9"/>
  <c r="AE155" i="9"/>
  <c r="AI30" i="9"/>
  <c r="AF30" i="9"/>
  <c r="AE334" i="9"/>
  <c r="AA146" i="9"/>
  <c r="Z131" i="9"/>
  <c r="AB344" i="9"/>
  <c r="Z307" i="9"/>
  <c r="AE163" i="9"/>
  <c r="AJ12" i="9"/>
  <c r="AF216" i="9"/>
  <c r="AE57" i="9"/>
  <c r="Z216" i="9"/>
  <c r="AA334" i="9"/>
  <c r="AE328" i="9"/>
  <c r="AD163" i="9"/>
  <c r="AB340" i="9"/>
  <c r="AA124" i="9"/>
  <c r="AA57" i="9"/>
  <c r="Z124" i="9"/>
  <c r="AE351" i="9"/>
  <c r="Z340" i="9"/>
  <c r="Z57" i="9"/>
  <c r="AE146" i="9"/>
  <c r="AA351" i="9"/>
  <c r="AI143" i="9"/>
  <c r="AJ219" i="9"/>
  <c r="AJ202" i="9"/>
  <c r="AJ124" i="9"/>
  <c r="AJ297" i="9"/>
  <c r="Z148" i="9"/>
  <c r="AB153" i="9"/>
  <c r="AA11" i="9"/>
  <c r="AD281" i="9"/>
  <c r="AF143" i="9"/>
  <c r="AI219" i="9"/>
  <c r="AE143" i="9"/>
  <c r="AH250" i="9"/>
  <c r="AH219" i="9"/>
  <c r="AE202" i="9"/>
  <c r="AH124" i="9"/>
  <c r="AH117" i="9"/>
  <c r="AI25" i="9"/>
  <c r="AD220" i="9"/>
  <c r="AD143" i="9"/>
  <c r="AJ281" i="9"/>
  <c r="Z332" i="9"/>
  <c r="Z197" i="9"/>
  <c r="AJ125" i="9"/>
  <c r="AA177" i="9"/>
  <c r="AI121" i="9"/>
  <c r="AF250" i="9"/>
  <c r="AA294" i="9"/>
  <c r="AI125" i="9"/>
  <c r="Z37" i="9"/>
  <c r="AE219" i="9"/>
  <c r="AJ317" i="9"/>
  <c r="Z12" i="9"/>
  <c r="AB239" i="9"/>
  <c r="AD317" i="9"/>
  <c r="Z298" i="9"/>
  <c r="AI60" i="9"/>
  <c r="AB125" i="9"/>
  <c r="Z156" i="9"/>
  <c r="AA290" i="9"/>
  <c r="AJ222" i="9"/>
  <c r="AE105" i="9"/>
  <c r="AD202" i="9"/>
  <c r="AB208" i="9"/>
  <c r="Z125" i="9"/>
  <c r="AA285" i="9"/>
  <c r="AJ348" i="9"/>
  <c r="AJ167" i="9"/>
  <c r="AD189" i="9"/>
  <c r="AB331" i="9"/>
  <c r="AD105" i="9"/>
  <c r="AB321" i="9"/>
  <c r="AE204" i="9"/>
  <c r="AD53" i="9"/>
  <c r="AH89" i="9"/>
  <c r="AA309" i="9"/>
  <c r="AE13" i="9"/>
  <c r="AD237" i="9"/>
  <c r="AH157" i="9"/>
  <c r="AA343" i="9"/>
  <c r="AI55" i="9"/>
  <c r="AD326" i="9"/>
  <c r="AH23" i="9"/>
  <c r="AD243" i="9"/>
  <c r="AF295" i="9"/>
  <c r="AD211" i="9"/>
  <c r="AD104" i="9"/>
  <c r="AJ323" i="9"/>
  <c r="AI306" i="9"/>
  <c r="AF32" i="9"/>
  <c r="AH14" i="9"/>
  <c r="AE227" i="9"/>
  <c r="AE321" i="9"/>
  <c r="AA120" i="9"/>
  <c r="Z120" i="9"/>
  <c r="AE222" i="9"/>
  <c r="AF331" i="9"/>
  <c r="AH292" i="9"/>
  <c r="AJ189" i="9"/>
  <c r="AE289" i="9"/>
  <c r="AI75" i="9"/>
  <c r="AH75" i="9"/>
  <c r="AD26" i="9"/>
  <c r="AF255" i="9"/>
  <c r="AE255" i="9"/>
  <c r="AD255" i="9"/>
  <c r="AE348" i="9"/>
  <c r="AJ311" i="9"/>
  <c r="AJ156" i="9"/>
  <c r="AA241" i="9"/>
  <c r="AI16" i="9"/>
  <c r="AF217" i="9"/>
  <c r="AA80" i="9"/>
  <c r="AF318" i="9"/>
  <c r="AE318" i="9"/>
  <c r="AD318" i="9"/>
  <c r="AD197" i="9"/>
  <c r="AB298" i="9"/>
  <c r="AJ332" i="9"/>
  <c r="AI332" i="9"/>
  <c r="AH332" i="9"/>
  <c r="AB224" i="9"/>
  <c r="AA224" i="9"/>
  <c r="Z224" i="9"/>
  <c r="AA153" i="9"/>
  <c r="AI13" i="9"/>
  <c r="AD200" i="9"/>
  <c r="AH225" i="9"/>
  <c r="AE53" i="9"/>
  <c r="AD68" i="9"/>
  <c r="AH279" i="9"/>
  <c r="AE237" i="9"/>
  <c r="AE326" i="9"/>
  <c r="AI23" i="9"/>
  <c r="AE243" i="9"/>
  <c r="AI295" i="9"/>
  <c r="AE211" i="9"/>
  <c r="AH319" i="9"/>
  <c r="AE104" i="9"/>
  <c r="AH226" i="9"/>
  <c r="AE259" i="9"/>
  <c r="AH90" i="9"/>
  <c r="AD337" i="9"/>
  <c r="AH73" i="9"/>
  <c r="AJ306" i="9"/>
  <c r="AI32" i="9"/>
  <c r="AI14" i="9"/>
  <c r="AJ227" i="9"/>
  <c r="AH321" i="9"/>
  <c r="AI31" i="9"/>
  <c r="AB105" i="9"/>
  <c r="AH105" i="9"/>
  <c r="AF118" i="9"/>
  <c r="Z59" i="9"/>
  <c r="AF310" i="9"/>
  <c r="AI292" i="9"/>
  <c r="AB189" i="9"/>
  <c r="AJ26" i="9"/>
  <c r="AI26" i="9"/>
  <c r="AH26" i="9"/>
  <c r="AB290" i="9"/>
  <c r="AI132" i="9"/>
  <c r="Z167" i="9"/>
  <c r="AH167" i="9"/>
  <c r="AE273" i="9"/>
  <c r="AD273" i="9"/>
  <c r="AF273" i="9"/>
  <c r="AJ16" i="9"/>
  <c r="AF80" i="9"/>
  <c r="AB197" i="9"/>
  <c r="AA329" i="9"/>
  <c r="Z329" i="9"/>
  <c r="AB329" i="9"/>
  <c r="AJ122" i="9"/>
  <c r="Z317" i="9"/>
  <c r="AH317" i="9"/>
  <c r="AF67" i="9"/>
  <c r="AA67" i="9"/>
  <c r="AI208" i="9"/>
  <c r="AB139" i="9"/>
  <c r="AA281" i="9"/>
  <c r="AD224" i="9"/>
  <c r="AF333" i="9"/>
  <c r="AE297" i="9"/>
  <c r="AI124" i="9"/>
  <c r="AF202" i="9"/>
  <c r="AJ73" i="9"/>
  <c r="AJ295" i="9"/>
  <c r="AI226" i="9"/>
  <c r="AF259" i="9"/>
  <c r="AF337" i="9"/>
  <c r="AA272" i="9"/>
  <c r="AJ32" i="9"/>
  <c r="AH227" i="9"/>
  <c r="AJ120" i="9"/>
  <c r="AJ118" i="9"/>
  <c r="AI310" i="9"/>
  <c r="AH222" i="9"/>
  <c r="AA141" i="9"/>
  <c r="AF289" i="9"/>
  <c r="AE37" i="9"/>
  <c r="AF257" i="9"/>
  <c r="AF320" i="9"/>
  <c r="AA132" i="9"/>
  <c r="AI352" i="9"/>
  <c r="AA167" i="9"/>
  <c r="AE311" i="9"/>
  <c r="AA156" i="9"/>
  <c r="AJ273" i="9"/>
  <c r="AI273" i="9"/>
  <c r="AH273" i="9"/>
  <c r="AB241" i="9"/>
  <c r="Z16" i="9"/>
  <c r="Z217" i="9"/>
  <c r="AH192" i="9"/>
  <c r="AH268" i="9"/>
  <c r="AH294" i="9"/>
  <c r="AE329" i="9"/>
  <c r="AB122" i="9"/>
  <c r="AB251" i="9"/>
  <c r="AH67" i="9"/>
  <c r="AI67" i="9"/>
  <c r="AF134" i="9"/>
  <c r="Z208" i="9"/>
  <c r="AB278" i="9"/>
  <c r="AH333" i="9"/>
  <c r="AH72" i="9"/>
  <c r="AJ72" i="9"/>
  <c r="AI72" i="9"/>
  <c r="AD117" i="9"/>
  <c r="AH118" i="9"/>
  <c r="AA59" i="9"/>
  <c r="AE310" i="9"/>
  <c r="AI289" i="9"/>
  <c r="AA75" i="9"/>
  <c r="AI257" i="9"/>
  <c r="AA255" i="9"/>
  <c r="AF290" i="9"/>
  <c r="AJ290" i="9"/>
  <c r="AA182" i="9"/>
  <c r="Z182" i="9"/>
  <c r="AI182" i="9"/>
  <c r="AE320" i="9"/>
  <c r="AD320" i="9"/>
  <c r="AF132" i="9"/>
  <c r="AH311" i="9"/>
  <c r="AI156" i="9"/>
  <c r="AA71" i="9"/>
  <c r="Z71" i="9"/>
  <c r="Z273" i="9"/>
  <c r="AE101" i="9"/>
  <c r="AB192" i="9"/>
  <c r="AA192" i="9"/>
  <c r="AJ287" i="9"/>
  <c r="AJ318" i="9"/>
  <c r="AF268" i="9"/>
  <c r="AE268" i="9"/>
  <c r="AD268" i="9"/>
  <c r="AD294" i="9"/>
  <c r="AH298" i="9"/>
  <c r="AI317" i="9"/>
  <c r="AF325" i="9"/>
  <c r="AH86" i="9"/>
  <c r="AE139" i="9"/>
  <c r="AF281" i="9"/>
  <c r="AJ224" i="9"/>
  <c r="AD153" i="9"/>
  <c r="AF148" i="9"/>
  <c r="AE148" i="9"/>
  <c r="AD148" i="9"/>
  <c r="AH174" i="9"/>
  <c r="AH293" i="9"/>
  <c r="AE117" i="9"/>
  <c r="AE250" i="9"/>
  <c r="AI163" i="9"/>
  <c r="AD331" i="9"/>
  <c r="AH141" i="9"/>
  <c r="AJ257" i="9"/>
  <c r="AB255" i="9"/>
  <c r="AB352" i="9"/>
  <c r="AA352" i="9"/>
  <c r="AF348" i="9"/>
  <c r="AI311" i="9"/>
  <c r="AF156" i="9"/>
  <c r="AA273" i="9"/>
  <c r="AE197" i="9"/>
  <c r="AB84" i="9"/>
  <c r="AA84" i="9"/>
  <c r="Z84" i="9"/>
  <c r="AJ329" i="9"/>
  <c r="AB60" i="9"/>
  <c r="AA60" i="9"/>
  <c r="AD122" i="9"/>
  <c r="AI298" i="9"/>
  <c r="AH134" i="9"/>
  <c r="AH139" i="9"/>
  <c r="AA332" i="9"/>
  <c r="AH281" i="9"/>
  <c r="AJ223" i="9"/>
  <c r="AJ148" i="9"/>
  <c r="AB72" i="9"/>
  <c r="AF297" i="9"/>
  <c r="AE220" i="9"/>
  <c r="Z174" i="9"/>
  <c r="AI293" i="9"/>
  <c r="Z202" i="9"/>
  <c r="AI5" i="9"/>
  <c r="AA328" i="9"/>
  <c r="Z328" i="9"/>
  <c r="AB328" i="9"/>
  <c r="AJ30" i="9"/>
  <c r="AE331" i="9"/>
  <c r="AI141" i="9"/>
  <c r="AH37" i="9"/>
  <c r="AE75" i="9"/>
  <c r="AH177" i="9"/>
  <c r="AJ182" i="9"/>
  <c r="AJ352" i="9"/>
  <c r="AF167" i="9"/>
  <c r="AE167" i="9"/>
  <c r="AH348" i="9"/>
  <c r="AB311" i="9"/>
  <c r="AA311" i="9"/>
  <c r="AJ71" i="9"/>
  <c r="AF16" i="9"/>
  <c r="AE16" i="9"/>
  <c r="AD16" i="9"/>
  <c r="AB80" i="9"/>
  <c r="AF197" i="9"/>
  <c r="AI294" i="9"/>
  <c r="AE60" i="9"/>
  <c r="AD60" i="9"/>
  <c r="AE122" i="9"/>
  <c r="AB67" i="9"/>
  <c r="AA86" i="9"/>
  <c r="Z86" i="9"/>
  <c r="AA208" i="9"/>
  <c r="AB332" i="9"/>
  <c r="AF224" i="9"/>
  <c r="AB11" i="9"/>
  <c r="AE278" i="9"/>
  <c r="AB333" i="9"/>
  <c r="AA333" i="9"/>
  <c r="Z333" i="9"/>
  <c r="AF153" i="9"/>
  <c r="AF220" i="9"/>
  <c r="AA174" i="9"/>
  <c r="AF238" i="9"/>
  <c r="AB57" i="9"/>
  <c r="AA340" i="9"/>
  <c r="AH189" i="9"/>
  <c r="AI37" i="9"/>
  <c r="AF75" i="9"/>
  <c r="AI177" i="9"/>
  <c r="AB182" i="9"/>
  <c r="AB71" i="9"/>
  <c r="AE241" i="9"/>
  <c r="AA217" i="9"/>
  <c r="Z192" i="9"/>
  <c r="AE80" i="9"/>
  <c r="AD80" i="9"/>
  <c r="AA125" i="9"/>
  <c r="AH318" i="9"/>
  <c r="AA268" i="9"/>
  <c r="AH197" i="9"/>
  <c r="AJ84" i="9"/>
  <c r="AH84" i="9"/>
  <c r="AF294" i="9"/>
  <c r="AJ294" i="9"/>
  <c r="AD329" i="9"/>
  <c r="AF122" i="9"/>
  <c r="AJ251" i="9"/>
  <c r="AF298" i="9"/>
  <c r="AE298" i="9"/>
  <c r="AD298" i="9"/>
  <c r="AI281" i="9"/>
  <c r="AD11" i="9"/>
  <c r="AJ278" i="9"/>
  <c r="AE333" i="9"/>
  <c r="AD333" i="9"/>
  <c r="AA148" i="9"/>
  <c r="AH220" i="9"/>
  <c r="AB174" i="9"/>
  <c r="AJ25" i="9"/>
  <c r="AI117" i="9"/>
  <c r="AJ5" i="9"/>
  <c r="AH163" i="9"/>
  <c r="Z352" i="9"/>
  <c r="AI348" i="9"/>
  <c r="AF241" i="9"/>
  <c r="AB101" i="9"/>
  <c r="AA101" i="9"/>
  <c r="Z101" i="9"/>
  <c r="AD285" i="9"/>
  <c r="AB268" i="9"/>
  <c r="AF329" i="9"/>
  <c r="Z60" i="9"/>
  <c r="AE317" i="9"/>
  <c r="AB325" i="9"/>
  <c r="AA325" i="9"/>
  <c r="Z325" i="9"/>
  <c r="AE67" i="9"/>
  <c r="AJ86" i="9"/>
  <c r="AB134" i="9"/>
  <c r="AA134" i="9"/>
  <c r="AD208" i="9"/>
  <c r="AE11" i="9"/>
  <c r="AI333" i="9"/>
  <c r="AH223" i="9"/>
  <c r="AB148" i="9"/>
  <c r="AA239" i="9"/>
  <c r="Z220" i="9"/>
  <c r="AI220" i="9"/>
  <c r="AD174" i="9"/>
  <c r="AH238" i="9"/>
  <c r="AB25" i="9"/>
  <c r="AB202" i="9"/>
  <c r="AF57" i="9"/>
  <c r="Z177" i="9"/>
  <c r="AF26" i="9"/>
  <c r="AE26" i="9"/>
  <c r="AH255" i="9"/>
  <c r="Z311" i="9"/>
  <c r="AB273" i="9"/>
  <c r="AI197" i="9"/>
  <c r="Z294" i="9"/>
  <c r="AE251" i="9"/>
  <c r="AF317" i="9"/>
  <c r="AE134" i="9"/>
  <c r="AD134" i="9"/>
  <c r="AE208" i="9"/>
  <c r="AD278" i="9"/>
  <c r="AF72" i="9"/>
  <c r="AE72" i="9"/>
  <c r="AD72" i="9"/>
  <c r="Z297" i="9"/>
  <c r="AA219" i="9"/>
  <c r="AI328" i="9"/>
  <c r="AB220" i="9"/>
  <c r="AJ174" i="9"/>
  <c r="AA238" i="9"/>
  <c r="Z238" i="9"/>
  <c r="AI238" i="9"/>
  <c r="AE293" i="9"/>
  <c r="AD293" i="9"/>
  <c r="AD124" i="9"/>
  <c r="AD219" i="9"/>
  <c r="AD57" i="9"/>
  <c r="AB5" i="9"/>
  <c r="Z5" i="9"/>
  <c r="AA143" i="9"/>
  <c r="AD154" i="9"/>
  <c r="AF154" i="9"/>
  <c r="AB163" i="9"/>
  <c r="AE121" i="9"/>
  <c r="AB146" i="9"/>
  <c r="AB334" i="9"/>
  <c r="AH224" i="9"/>
  <c r="AH297" i="9"/>
  <c r="AH25" i="9"/>
  <c r="AD5" i="9"/>
  <c r="AD340" i="9"/>
  <c r="AJ154" i="9"/>
  <c r="AH154" i="9"/>
  <c r="AJ328" i="9"/>
  <c r="AB342" i="9"/>
  <c r="AB216" i="9"/>
  <c r="AF12" i="9"/>
  <c r="AD12" i="9"/>
  <c r="AE12" i="9"/>
  <c r="AA65" i="9"/>
  <c r="AF40" i="9"/>
  <c r="AD40" i="9"/>
  <c r="AE40" i="9"/>
  <c r="AF253" i="9"/>
  <c r="AD102" i="9"/>
  <c r="AI224" i="9"/>
  <c r="AI297" i="9"/>
  <c r="AJ238" i="9"/>
  <c r="AB117" i="9"/>
  <c r="AA117" i="9"/>
  <c r="AF219" i="9"/>
  <c r="AI340" i="9"/>
  <c r="AD351" i="9"/>
  <c r="AI318" i="9"/>
  <c r="AI251" i="9"/>
  <c r="AI139" i="9"/>
  <c r="AI223" i="9"/>
  <c r="AB238" i="9"/>
  <c r="Z25" i="9"/>
  <c r="AJ117" i="9"/>
  <c r="AF124" i="9"/>
  <c r="AE124" i="9"/>
  <c r="AH202" i="9"/>
  <c r="AB219" i="9"/>
  <c r="AA250" i="9"/>
  <c r="Z250" i="9"/>
  <c r="AA5" i="9"/>
  <c r="AE154" i="9"/>
  <c r="AH351" i="9"/>
  <c r="AF163" i="9"/>
  <c r="AH328" i="9"/>
  <c r="AJ216" i="9"/>
  <c r="AI65" i="9"/>
  <c r="AA131" i="9"/>
  <c r="AI71" i="9"/>
  <c r="AI287" i="9"/>
  <c r="Z318" i="9"/>
  <c r="AI329" i="9"/>
  <c r="Z251" i="9"/>
  <c r="AI86" i="9"/>
  <c r="Z139" i="9"/>
  <c r="AI278" i="9"/>
  <c r="Z223" i="9"/>
  <c r="AA297" i="9"/>
  <c r="AD238" i="9"/>
  <c r="AA25" i="9"/>
  <c r="AI57" i="9"/>
  <c r="AH57" i="9"/>
  <c r="AE5" i="9"/>
  <c r="AH143" i="9"/>
  <c r="AF340" i="9"/>
  <c r="AE340" i="9"/>
  <c r="AI154" i="9"/>
  <c r="Z351" i="9"/>
  <c r="AH121" i="9"/>
  <c r="AA12" i="9"/>
  <c r="AF65" i="9"/>
  <c r="AH132" i="9"/>
  <c r="AH241" i="9"/>
  <c r="AH125" i="9"/>
  <c r="AA318" i="9"/>
  <c r="AH122" i="9"/>
  <c r="AA251" i="9"/>
  <c r="AH208" i="9"/>
  <c r="AA139" i="9"/>
  <c r="Z278" i="9"/>
  <c r="AH153" i="9"/>
  <c r="AA223" i="9"/>
  <c r="AB297" i="9"/>
  <c r="AE174" i="9"/>
  <c r="AE238" i="9"/>
  <c r="AF293" i="9"/>
  <c r="Z117" i="9"/>
  <c r="AJ250" i="9"/>
  <c r="AF5" i="9"/>
  <c r="AJ340" i="9"/>
  <c r="AH340" i="9"/>
  <c r="AB351" i="9"/>
  <c r="AA163" i="9"/>
  <c r="Z163" i="9"/>
  <c r="AE342" i="9"/>
  <c r="AH65" i="9"/>
  <c r="AF307" i="9"/>
  <c r="AD307" i="9"/>
  <c r="AE307" i="9"/>
  <c r="AF146" i="9"/>
  <c r="Z239" i="9"/>
  <c r="AF174" i="9"/>
  <c r="AA202" i="9"/>
  <c r="Z219" i="9"/>
  <c r="AB250" i="9"/>
  <c r="AH5" i="9"/>
  <c r="AJ307" i="9"/>
  <c r="AJ163" i="9"/>
  <c r="AI146" i="9"/>
  <c r="AH146" i="9"/>
  <c r="AE344" i="9"/>
  <c r="Z40" i="9"/>
  <c r="AI334" i="9"/>
  <c r="AH334" i="9"/>
  <c r="AJ45" i="9"/>
  <c r="AD253" i="9"/>
  <c r="AE65" i="9"/>
  <c r="AD65" i="9"/>
  <c r="AB307" i="9"/>
  <c r="AA40" i="9"/>
  <c r="Z334" i="9"/>
  <c r="Z45" i="9"/>
  <c r="AA216" i="9"/>
  <c r="AB12" i="9"/>
  <c r="AB40" i="9"/>
  <c r="AH30" i="9"/>
  <c r="AI202" i="9"/>
  <c r="AD328" i="9"/>
  <c r="AA342" i="9"/>
  <c r="AD216" i="9"/>
  <c r="Z65" i="9"/>
  <c r="AJ146" i="9"/>
  <c r="AH45" i="9"/>
  <c r="Z143" i="9"/>
  <c r="AF351" i="9"/>
  <c r="AF328" i="9"/>
  <c r="AD121" i="9"/>
  <c r="AD342" i="9"/>
  <c r="AE216" i="9"/>
  <c r="AH12" i="9"/>
  <c r="AB65" i="9"/>
  <c r="AJ334" i="9"/>
  <c r="Z344" i="9"/>
  <c r="AJ131" i="9"/>
  <c r="AI314" i="9"/>
  <c r="AB8" i="9"/>
  <c r="AF314" i="9"/>
  <c r="AF77" i="9"/>
  <c r="AE77" i="9"/>
  <c r="AD77" i="9"/>
  <c r="Z146" i="9"/>
  <c r="AA45" i="9"/>
  <c r="AJ344" i="9"/>
  <c r="AH314" i="9"/>
  <c r="AD146" i="9"/>
  <c r="AF45" i="9"/>
  <c r="AI253" i="9"/>
  <c r="Z30" i="9"/>
  <c r="AA344" i="9"/>
  <c r="AD334" i="9"/>
  <c r="AB253" i="9"/>
  <c r="AA253" i="9"/>
  <c r="Z253" i="9"/>
  <c r="AD344" i="9"/>
  <c r="Z166" i="9"/>
  <c r="AD269" i="9"/>
  <c r="AI307" i="9"/>
  <c r="AF334" i="9"/>
  <c r="AB45" i="9"/>
  <c r="AI45" i="9"/>
  <c r="AA8" i="9"/>
  <c r="AJ102" i="9"/>
  <c r="AE166" i="9"/>
  <c r="AF166" i="9"/>
  <c r="AD166" i="9"/>
  <c r="AD30" i="9"/>
  <c r="AF344" i="9"/>
  <c r="AE131" i="9"/>
  <c r="AA102" i="9"/>
  <c r="AH166" i="9"/>
  <c r="AJ166" i="9"/>
  <c r="AI166" i="9"/>
  <c r="AE30" i="9"/>
  <c r="AE102" i="9"/>
  <c r="AF8" i="9"/>
  <c r="AB131" i="9"/>
  <c r="AH102" i="9"/>
  <c r="AJ77" i="9"/>
  <c r="AH77" i="9"/>
  <c r="AI77" i="9"/>
  <c r="AA209" i="9"/>
  <c r="AB209" i="9"/>
  <c r="Z209" i="9"/>
  <c r="AF263" i="9"/>
  <c r="AA314" i="9"/>
  <c r="AB314" i="9"/>
  <c r="AB77" i="9"/>
  <c r="AH66" i="9"/>
  <c r="AJ8" i="9"/>
  <c r="AJ155" i="9"/>
  <c r="AH155" i="9"/>
  <c r="AI66" i="9"/>
  <c r="Z8" i="9"/>
  <c r="AH344" i="9"/>
  <c r="AH131" i="9"/>
  <c r="Z102" i="9"/>
  <c r="AJ314" i="9"/>
  <c r="AD155" i="9"/>
  <c r="AJ66" i="9"/>
  <c r="AD302" i="9"/>
  <c r="AI344" i="9"/>
  <c r="AI131" i="9"/>
  <c r="Z314" i="9"/>
  <c r="AA168" i="9"/>
  <c r="AF302" i="9"/>
  <c r="AB166" i="9"/>
  <c r="AA166" i="9"/>
  <c r="AI155" i="9"/>
  <c r="AD168" i="9"/>
  <c r="AA269" i="9"/>
  <c r="AB66" i="9"/>
  <c r="AF66" i="9"/>
  <c r="AD66" i="9"/>
  <c r="AE66" i="9"/>
  <c r="AA263" i="9"/>
  <c r="AB155" i="9"/>
  <c r="AA155" i="9"/>
  <c r="Z155" i="9"/>
  <c r="AB168" i="9"/>
  <c r="Z168" i="9"/>
  <c r="AJ302" i="9"/>
  <c r="AI302" i="9"/>
  <c r="AH302" i="9"/>
  <c r="AA77" i="9"/>
  <c r="Z77" i="9"/>
  <c r="AF168" i="9"/>
  <c r="AE168" i="9"/>
  <c r="AB263" i="9"/>
  <c r="AI269" i="9"/>
  <c r="Z302" i="9"/>
  <c r="AE269" i="9"/>
  <c r="AA66" i="9"/>
  <c r="AF269" i="9"/>
  <c r="AB302" i="9"/>
  <c r="AA302" i="9"/>
  <c r="AF209" i="9"/>
  <c r="Z263" i="9"/>
  <c r="AJ269" i="9"/>
  <c r="AH269" i="9"/>
  <c r="AI168" i="9"/>
  <c r="AH209" i="9"/>
  <c r="AH263" i="9"/>
  <c r="AR225" i="9" l="1"/>
  <c r="AR44" i="9"/>
  <c r="AR162" i="9"/>
  <c r="AR107" i="9"/>
  <c r="AR76" i="9"/>
  <c r="AR311" i="9"/>
  <c r="AR322" i="9"/>
  <c r="AR313" i="9"/>
  <c r="AR185" i="9"/>
  <c r="AR158" i="9"/>
  <c r="AR212" i="9"/>
  <c r="AR344" i="9"/>
  <c r="AR165" i="9"/>
  <c r="AR275" i="9"/>
  <c r="AR66" i="9"/>
  <c r="AR234" i="9"/>
  <c r="AR28" i="9"/>
  <c r="AR201" i="9"/>
  <c r="AR215" i="9"/>
  <c r="AR110" i="9"/>
  <c r="AR36" i="9"/>
  <c r="AR45" i="9"/>
  <c r="AR315" i="9"/>
  <c r="AR50" i="9"/>
  <c r="AR139" i="9"/>
  <c r="AR9" i="9"/>
  <c r="AR342" i="9"/>
  <c r="AR180" i="9"/>
  <c r="AR288" i="9"/>
  <c r="AR67" i="9"/>
  <c r="AR320" i="9"/>
  <c r="AR148" i="9"/>
  <c r="AR133" i="9"/>
  <c r="AR228" i="9"/>
  <c r="AR253" i="9"/>
  <c r="AR17" i="9"/>
  <c r="AR265" i="9"/>
  <c r="AR203" i="9"/>
  <c r="AR174" i="9"/>
  <c r="AR309" i="9"/>
  <c r="AR300" i="9"/>
  <c r="AR103" i="9"/>
  <c r="AR254" i="9"/>
  <c r="AR211" i="9"/>
  <c r="AR335" i="9"/>
  <c r="AR41" i="9"/>
  <c r="AR280" i="9"/>
  <c r="AR255" i="9"/>
  <c r="AR78" i="9"/>
  <c r="AR70" i="9"/>
  <c r="AR65" i="9"/>
  <c r="AR333" i="9"/>
  <c r="AR156" i="9"/>
  <c r="AR113" i="9"/>
  <c r="AR332" i="9"/>
  <c r="AR264" i="9"/>
  <c r="AR122" i="9"/>
  <c r="AR34" i="9"/>
  <c r="AR42" i="9"/>
  <c r="AR190" i="9"/>
  <c r="AR339" i="9"/>
  <c r="AR247" i="9"/>
  <c r="AR126" i="9"/>
  <c r="AR192" i="9"/>
  <c r="AR343" i="9"/>
  <c r="AR94" i="9"/>
  <c r="AR198" i="9"/>
  <c r="AR227" i="9"/>
  <c r="AR299" i="9"/>
  <c r="AR336" i="9"/>
  <c r="AR29" i="9"/>
  <c r="AR348" i="9"/>
  <c r="AR248" i="9"/>
  <c r="AR271" i="9"/>
  <c r="AR350" i="9"/>
  <c r="AR64" i="9"/>
  <c r="AR99" i="9"/>
  <c r="AR325" i="9"/>
  <c r="AR282" i="9"/>
  <c r="AR161" i="9"/>
  <c r="AR241" i="9"/>
  <c r="AR279" i="9"/>
  <c r="AR10" i="9"/>
  <c r="AR127" i="9"/>
  <c r="AR117" i="9"/>
  <c r="AR331" i="9"/>
  <c r="AR230" i="9"/>
  <c r="AR128" i="9"/>
  <c r="AR16" i="9"/>
  <c r="AR324" i="9"/>
  <c r="AR352" i="9"/>
  <c r="AR205" i="9"/>
  <c r="AR224" i="9"/>
  <c r="AR206" i="9"/>
  <c r="AR74" i="9"/>
  <c r="AR277" i="9"/>
  <c r="AR106" i="9"/>
  <c r="AR8" i="9"/>
  <c r="AR220" i="9"/>
  <c r="AR252" i="9"/>
  <c r="AR115" i="9"/>
  <c r="AR302" i="9"/>
  <c r="AR104" i="9"/>
  <c r="AR326" i="9"/>
  <c r="AR55" i="9"/>
  <c r="AR153" i="9"/>
  <c r="AR289" i="9"/>
  <c r="AR357" i="9"/>
  <c r="AR266" i="9"/>
  <c r="AR142" i="9"/>
  <c r="AR32" i="9"/>
  <c r="AR166" i="9"/>
  <c r="AR13" i="9"/>
  <c r="AR164" i="9"/>
  <c r="AR143" i="9"/>
  <c r="AR267" i="9"/>
  <c r="AR86" i="9"/>
  <c r="AR179" i="9"/>
  <c r="AR154" i="9"/>
  <c r="AR54" i="9"/>
  <c r="AR218" i="9"/>
  <c r="AR93" i="9"/>
  <c r="AR73" i="9"/>
  <c r="AR243" i="9"/>
  <c r="AR24" i="9"/>
  <c r="AR239" i="9"/>
  <c r="AR129" i="9"/>
  <c r="AR11" i="9"/>
  <c r="AR249" i="9"/>
  <c r="AR308" i="9"/>
  <c r="AR213" i="9"/>
  <c r="AR232" i="9"/>
  <c r="AR151" i="9"/>
  <c r="AR62" i="9"/>
  <c r="AR235" i="9"/>
  <c r="AR114" i="9"/>
  <c r="AR68" i="9"/>
  <c r="AR163" i="9"/>
  <c r="AR147" i="9"/>
  <c r="AR257" i="9"/>
  <c r="AR298" i="9"/>
  <c r="AR33" i="9"/>
  <c r="AR131" i="9"/>
  <c r="AR200" i="9"/>
  <c r="AR173" i="9"/>
  <c r="AR120" i="9"/>
  <c r="AR101" i="9"/>
  <c r="AR145" i="9"/>
  <c r="AR338" i="9"/>
  <c r="AR233" i="9"/>
  <c r="AR90" i="9"/>
  <c r="AR102" i="9"/>
  <c r="AR149" i="9"/>
  <c r="AR346" i="9"/>
  <c r="AR274" i="9"/>
  <c r="AR268" i="9"/>
  <c r="AR81" i="9"/>
  <c r="AR278" i="9"/>
  <c r="AR319" i="9"/>
  <c r="AR85" i="9"/>
  <c r="AR12" i="9"/>
  <c r="AR290" i="9"/>
  <c r="AR69" i="9"/>
  <c r="AR75" i="9"/>
  <c r="AR269" i="9"/>
  <c r="AR63" i="9"/>
  <c r="AR194" i="9"/>
  <c r="AR138" i="9"/>
  <c r="AR260" i="9"/>
  <c r="AR356" i="9"/>
  <c r="AR172" i="9"/>
  <c r="AR221" i="9"/>
  <c r="AR229" i="9"/>
  <c r="AR262" i="9"/>
  <c r="AR150" i="9"/>
  <c r="AR296" i="9"/>
  <c r="AR340" i="9"/>
  <c r="AR251" i="9"/>
  <c r="AR188" i="9"/>
  <c r="AR304" i="9"/>
  <c r="AR56" i="9"/>
  <c r="AR208" i="9"/>
  <c r="AR183" i="9"/>
  <c r="AR140" i="9"/>
  <c r="AR97" i="9"/>
  <c r="AR6" i="9"/>
  <c r="AR178" i="9"/>
  <c r="AR301" i="9"/>
  <c r="AR146" i="9"/>
  <c r="AR231" i="9"/>
  <c r="AR292" i="9"/>
  <c r="AR43" i="9"/>
  <c r="AR25" i="9"/>
  <c r="AR87" i="9"/>
  <c r="AR199" i="9"/>
  <c r="AR160" i="9"/>
  <c r="AR347" i="9"/>
  <c r="AR108" i="9"/>
  <c r="AR92" i="9"/>
  <c r="AR15" i="9"/>
  <c r="AR307" i="9"/>
  <c r="AR116" i="9"/>
  <c r="AR214" i="9"/>
  <c r="AR118" i="9"/>
  <c r="AR281" i="9"/>
  <c r="AR38" i="9"/>
  <c r="AR171" i="9"/>
  <c r="AR202" i="9"/>
  <c r="AR84" i="9"/>
  <c r="AR323" i="9"/>
  <c r="AR23" i="9"/>
  <c r="AR285" i="9"/>
  <c r="AR329" i="9"/>
  <c r="AR276" i="9"/>
  <c r="AR123" i="9"/>
  <c r="AR294" i="9"/>
  <c r="AR223" i="9"/>
  <c r="AR305" i="9"/>
  <c r="AR242" i="9"/>
  <c r="AR137" i="9"/>
  <c r="AR341" i="9"/>
  <c r="AR48" i="9"/>
  <c r="AR155" i="9"/>
  <c r="AR328" i="9"/>
  <c r="AR222" i="9"/>
  <c r="AR310" i="9"/>
  <c r="AR349" i="9"/>
  <c r="AR284" i="9"/>
  <c r="AR187" i="9"/>
  <c r="AR245" i="9"/>
  <c r="AR53" i="9"/>
  <c r="AR96" i="9"/>
  <c r="AR100" i="9"/>
  <c r="AR354" i="9"/>
  <c r="AR22" i="9"/>
  <c r="AR193" i="9"/>
  <c r="AR306" i="9"/>
  <c r="AR61" i="9"/>
  <c r="AR111" i="9"/>
  <c r="AR286" i="9"/>
  <c r="AR207" i="9"/>
  <c r="AR272" i="9"/>
  <c r="AR112" i="9"/>
  <c r="AR5" i="9"/>
  <c r="AR195" i="9"/>
  <c r="AR136" i="9"/>
  <c r="AR119" i="9"/>
  <c r="AR27" i="9"/>
  <c r="AR105" i="9"/>
  <c r="AR263" i="9"/>
  <c r="AR57" i="9"/>
  <c r="AR358" i="9"/>
  <c r="AR79" i="9"/>
  <c r="AR181" i="9"/>
  <c r="AR26" i="9"/>
  <c r="AR244" i="9"/>
  <c r="AR256" i="9"/>
  <c r="AR80" i="9"/>
  <c r="AR321" i="9"/>
  <c r="AR35" i="9"/>
  <c r="AR51" i="9"/>
  <c r="AR98" i="9"/>
  <c r="AR297" i="9"/>
  <c r="AR144" i="9"/>
  <c r="AR184" i="9"/>
  <c r="AR30" i="9"/>
  <c r="AR197" i="9"/>
  <c r="AR159" i="9"/>
  <c r="AR355" i="9"/>
  <c r="AR124" i="9"/>
  <c r="AR186" i="9"/>
  <c r="AR52" i="9"/>
  <c r="AR318" i="9"/>
  <c r="AR316" i="9"/>
  <c r="AR89" i="9"/>
  <c r="AR39" i="9"/>
  <c r="AR125" i="9"/>
  <c r="AR169" i="9"/>
  <c r="AR19" i="9"/>
  <c r="AR293" i="9"/>
  <c r="AR167" i="9"/>
  <c r="AR14" i="9"/>
  <c r="AR109" i="9"/>
  <c r="AR337" i="9"/>
  <c r="AR157" i="9"/>
  <c r="AR31" i="9"/>
  <c r="AR327" i="9"/>
  <c r="AR314" i="9"/>
  <c r="AR210" i="9"/>
  <c r="AR95" i="9"/>
  <c r="AR177" i="9"/>
  <c r="AR189" i="9"/>
  <c r="AR295" i="9"/>
  <c r="AR141" i="9"/>
  <c r="AR237" i="9"/>
  <c r="AR317" i="9"/>
  <c r="AR261" i="9"/>
  <c r="AR283" i="9"/>
  <c r="AR303" i="9"/>
  <c r="AR77" i="9"/>
  <c r="AR246" i="9"/>
  <c r="AR82" i="9"/>
  <c r="AR351" i="9"/>
  <c r="AR59" i="9"/>
  <c r="AR236" i="9"/>
  <c r="AR287" i="9"/>
  <c r="AR209" i="9"/>
  <c r="AR312" i="9"/>
  <c r="AR21" i="9"/>
  <c r="AR226" i="9"/>
  <c r="AR330" i="9"/>
  <c r="AR18" i="9"/>
  <c r="AR152" i="9"/>
  <c r="AR121" i="9"/>
  <c r="AR345" i="9"/>
  <c r="AR353" i="9"/>
  <c r="AR132" i="9"/>
  <c r="AR259" i="9"/>
  <c r="AR273" i="9"/>
  <c r="AR47" i="9"/>
  <c r="AR204" i="9"/>
  <c r="AR176" i="9"/>
  <c r="AR191" i="9"/>
  <c r="AR60" i="9"/>
  <c r="AR250" i="9"/>
  <c r="AR71" i="9"/>
  <c r="AR20" i="9"/>
  <c r="AR216" i="9"/>
  <c r="AR258" i="9"/>
  <c r="AR196" i="9"/>
  <c r="AR134" i="9"/>
  <c r="AR91" i="9"/>
  <c r="AR219" i="9"/>
  <c r="AR72" i="9"/>
  <c r="AR49" i="9"/>
  <c r="AR88" i="9"/>
  <c r="AR168" i="9"/>
</calcChain>
</file>

<file path=xl/sharedStrings.xml><?xml version="1.0" encoding="utf-8"?>
<sst xmlns="http://schemas.openxmlformats.org/spreadsheetml/2006/main" count="598" uniqueCount="515">
  <si>
    <t>https://dynasties.operationsports.com/team-colors.php?sport=mlb</t>
  </si>
  <si>
    <t>Air Force Falcons</t>
  </si>
  <si>
    <t>Akron Zips</t>
  </si>
  <si>
    <t>Alabama Crimson Tide</t>
  </si>
  <si>
    <t>Alabama A&amp;M Bulldogs</t>
  </si>
  <si>
    <t>Alabama State Hornets</t>
  </si>
  <si>
    <t>Albany Great Danes</t>
  </si>
  <si>
    <t>Alcorn State Braves</t>
  </si>
  <si>
    <t>American University Eagles</t>
  </si>
  <si>
    <t>Appalachian State Mountaineers</t>
  </si>
  <si>
    <t>Arizona Wildcats</t>
  </si>
  <si>
    <t>Arizona State Sun Devils</t>
  </si>
  <si>
    <t>Arkansas Razorbacks</t>
  </si>
  <si>
    <t>Arkansas Pine-Bluff Golden Lions</t>
  </si>
  <si>
    <t>Arkansas State Red Wolves</t>
  </si>
  <si>
    <t>Arkansas-Little Rock Trojans</t>
  </si>
  <si>
    <t>Army Black Knights</t>
  </si>
  <si>
    <t>Auburn Tigers</t>
  </si>
  <si>
    <t>Austin Peay Governors</t>
  </si>
  <si>
    <t>Ball State Cardinals</t>
  </si>
  <si>
    <t>Baylor Bears</t>
  </si>
  <si>
    <t>Belmont Bruins</t>
  </si>
  <si>
    <t>Bethune-Cookman Wildcats</t>
  </si>
  <si>
    <t>Binghamton Bearcats</t>
  </si>
  <si>
    <t>Boise State Broncos</t>
  </si>
  <si>
    <t>Boston College Eagles</t>
  </si>
  <si>
    <t>Boston University Terriers</t>
  </si>
  <si>
    <t>Bowling Green Falcons</t>
  </si>
  <si>
    <t>Bradley Braves</t>
  </si>
  <si>
    <t>Brigham Young Cougars</t>
  </si>
  <si>
    <t>Brown Bears</t>
  </si>
  <si>
    <t>Bryant University Bulldogs</t>
  </si>
  <si>
    <t>Bucknell Bison</t>
  </si>
  <si>
    <t>Buffalo Bulls</t>
  </si>
  <si>
    <t>Butler Bulldogs</t>
  </si>
  <si>
    <t>Cal Poly Mustangs</t>
  </si>
  <si>
    <t>Cal State Bakersfield Roadrunners</t>
  </si>
  <si>
    <t>Cal State Fullerton Titans</t>
  </si>
  <si>
    <t>Cal State Northridge Matadors</t>
  </si>
  <si>
    <t>California Golden Bears</t>
  </si>
  <si>
    <t>Campbell Fighting Camels</t>
  </si>
  <si>
    <t>Canisius Golden Griffins</t>
  </si>
  <si>
    <t>Central Arkansas Bears</t>
  </si>
  <si>
    <t>Central Connecticut State Blue Devils</t>
  </si>
  <si>
    <t>Central Michigan Chippewas</t>
  </si>
  <si>
    <t>Charleston Cougars</t>
  </si>
  <si>
    <t>Charleston Southern Buccaneers</t>
  </si>
  <si>
    <t>Charlotte 49ers</t>
  </si>
  <si>
    <t>Chattanooga Mocs</t>
  </si>
  <si>
    <t>Chicago State Cougars</t>
  </si>
  <si>
    <t>Cincinnati Bearcats</t>
  </si>
  <si>
    <t>Citadel Bulldogs</t>
  </si>
  <si>
    <t>Clemson Tigers</t>
  </si>
  <si>
    <t>Cleveland State Vikings</t>
  </si>
  <si>
    <t>Coastal Carolina Chanticleers</t>
  </si>
  <si>
    <t>Colgate Raiders</t>
  </si>
  <si>
    <t>Colorado Buffaloes</t>
  </si>
  <si>
    <t>Colorado State Rams</t>
  </si>
  <si>
    <t>Columbia Lions</t>
  </si>
  <si>
    <t>Connecticut Huskies</t>
  </si>
  <si>
    <t>Coppin State Eagles</t>
  </si>
  <si>
    <t>Cornell Big Red</t>
  </si>
  <si>
    <t>Creighton Bluejays</t>
  </si>
  <si>
    <t>Dartmouth Big Green</t>
  </si>
  <si>
    <t>Davidson Wildcats</t>
  </si>
  <si>
    <t>Dayton Flyers</t>
  </si>
  <si>
    <t>Delaware Fightin Blue Hens</t>
  </si>
  <si>
    <t>Delaware State Hornets</t>
  </si>
  <si>
    <t>Denver Pioneers</t>
  </si>
  <si>
    <t>DePaul Blue Demons</t>
  </si>
  <si>
    <t>Detroit Titans</t>
  </si>
  <si>
    <t>Drake Bulldogs</t>
  </si>
  <si>
    <t>Drexel Dragons</t>
  </si>
  <si>
    <t>Duke Blue Devils</t>
  </si>
  <si>
    <t>Duquesne Dukes</t>
  </si>
  <si>
    <t>East Carolina Pirates</t>
  </si>
  <si>
    <t>East Tennessee State Buccaneers</t>
  </si>
  <si>
    <t>Eastern Illinois Panthers</t>
  </si>
  <si>
    <t>Eastern Kentucky Colonels</t>
  </si>
  <si>
    <t>Eastern Michigan Eagles</t>
  </si>
  <si>
    <t>Eastern Washington Eagles</t>
  </si>
  <si>
    <t>Elon Phoenix</t>
  </si>
  <si>
    <t>Evansville Aces</t>
  </si>
  <si>
    <t>Fairfield Stags</t>
  </si>
  <si>
    <t>Fairleigh Dickinson Knights</t>
  </si>
  <si>
    <t>Florida Gators</t>
  </si>
  <si>
    <t>Florida A&amp;M Rattlers</t>
  </si>
  <si>
    <t>Florida Atlantic Owls</t>
  </si>
  <si>
    <t>Florida Gulf Coast Eagles</t>
  </si>
  <si>
    <t>Florida International Golden Panthers</t>
  </si>
  <si>
    <t>Florida State Seminoles</t>
  </si>
  <si>
    <t>Fordham Rams</t>
  </si>
  <si>
    <t>Fresno State Bulldogs</t>
  </si>
  <si>
    <t>Furman Paladins</t>
  </si>
  <si>
    <t>Gardner-Webb Runnin' Bulldogs</t>
  </si>
  <si>
    <t>George Mason Patriots</t>
  </si>
  <si>
    <t>George Washington Colonials</t>
  </si>
  <si>
    <t>Georgetown Hoyas</t>
  </si>
  <si>
    <t>Georgia Bulldogs</t>
  </si>
  <si>
    <t>Georgia Southern Eagles</t>
  </si>
  <si>
    <t>Georgia State Panthers</t>
  </si>
  <si>
    <t>Georgia Tech Yellow Jackets</t>
  </si>
  <si>
    <t>Gonzaga Bulldogs</t>
  </si>
  <si>
    <t>Grambling State Tigers</t>
  </si>
  <si>
    <t>Green Bay Phoenix</t>
  </si>
  <si>
    <t>Hampton Pirates</t>
  </si>
  <si>
    <t>Hartford Hawks</t>
  </si>
  <si>
    <t>Harvard Crimson</t>
  </si>
  <si>
    <t>Hawaii Warriors</t>
  </si>
  <si>
    <t>High Point Panthers</t>
  </si>
  <si>
    <t>Hofstra Pride</t>
  </si>
  <si>
    <t>Holy Cross Crusaders</t>
  </si>
  <si>
    <t>Houston Cougars</t>
  </si>
  <si>
    <t>Houston Baptist Huskies</t>
  </si>
  <si>
    <t>Howard Bison</t>
  </si>
  <si>
    <t>Idaho Vandals</t>
  </si>
  <si>
    <t>Idaho State Bengals</t>
  </si>
  <si>
    <t>Illinois Fighting Illini</t>
  </si>
  <si>
    <t>Illinois State Redbirds</t>
  </si>
  <si>
    <t>Illinois-Chicago Flames</t>
  </si>
  <si>
    <t>Indiana Hoosiers</t>
  </si>
  <si>
    <t>Indiana State Sycamores</t>
  </si>
  <si>
    <t>Iona Gaels</t>
  </si>
  <si>
    <t>Iowa Hawkeyes</t>
  </si>
  <si>
    <t>Iowa State Cyclones</t>
  </si>
  <si>
    <t>IPFW Mastodons</t>
  </si>
  <si>
    <t>IUPUI Jaguars</t>
  </si>
  <si>
    <t>Jackson State Tigers</t>
  </si>
  <si>
    <t>Jacksonville Dolphins</t>
  </si>
  <si>
    <t>Jacksonville State Gamecocks</t>
  </si>
  <si>
    <t>James Madison Dukes</t>
  </si>
  <si>
    <t>Kansas Jayhawks</t>
  </si>
  <si>
    <t>Kansas State Wildcats</t>
  </si>
  <si>
    <t>Kennesaw State Owls</t>
  </si>
  <si>
    <t>Kent State Golden Flashes</t>
  </si>
  <si>
    <t>Kentucky Wildcats</t>
  </si>
  <si>
    <t>La Salle Explorers</t>
  </si>
  <si>
    <t>Lafayette Leopards</t>
  </si>
  <si>
    <t>Lamar Cardinals</t>
  </si>
  <si>
    <t>Lehigh Mountain Hawks</t>
  </si>
  <si>
    <t>Liberty Flames</t>
  </si>
  <si>
    <t>Lipscomb Bisons</t>
  </si>
  <si>
    <t>Long Beach State 49ers</t>
  </si>
  <si>
    <t>Long Island Blackbirds</t>
  </si>
  <si>
    <t>Longwood Lancers</t>
  </si>
  <si>
    <t>Louisiana Tech Bulldogs</t>
  </si>
  <si>
    <t>Louisiana-Lafayette Ragin' Cajuns</t>
  </si>
  <si>
    <t>Louisiana-Monroe Warhawks</t>
  </si>
  <si>
    <t>Louisville Cardinals</t>
  </si>
  <si>
    <t>Loyola (IL) Ramblers</t>
  </si>
  <si>
    <t>Loyola (MD) Greyhounds</t>
  </si>
  <si>
    <t>Loyola Marymount Lions</t>
  </si>
  <si>
    <t>LSU Tigers</t>
  </si>
  <si>
    <t>Maine Black Bears</t>
  </si>
  <si>
    <t>Manhattan Jaspers</t>
  </si>
  <si>
    <t>Marist Red Foxes</t>
  </si>
  <si>
    <t>Marquette Golden Eagles</t>
  </si>
  <si>
    <t>Marshall Thundering Herd</t>
  </si>
  <si>
    <t>Maryland Terrapins</t>
  </si>
  <si>
    <t>Maryland-Eastern Shore Hawks</t>
  </si>
  <si>
    <t>Massachusetts Minutemen</t>
  </si>
  <si>
    <t>McNeese State Cowboys</t>
  </si>
  <si>
    <t>Memphis Tigers</t>
  </si>
  <si>
    <t>Mercer Bears</t>
  </si>
  <si>
    <t>Miami (FL) Hurricanes</t>
  </si>
  <si>
    <t>Miami (OH) RedHawks</t>
  </si>
  <si>
    <t>Michigan Wolverines</t>
  </si>
  <si>
    <t>Michigan State Spartans</t>
  </si>
  <si>
    <t>Middle Tennessee Blue Raiders</t>
  </si>
  <si>
    <t>Milwaukee Panthers</t>
  </si>
  <si>
    <t>Minnesota Golden Gophers</t>
  </si>
  <si>
    <t>Mississippi Rebels</t>
  </si>
  <si>
    <t>Mississippi State Bulldogs</t>
  </si>
  <si>
    <t>Mississippi Valley State Delta Devils</t>
  </si>
  <si>
    <t>Missouri Tigers</t>
  </si>
  <si>
    <t>Missouri State Bears</t>
  </si>
  <si>
    <t>Monmouth Hawks</t>
  </si>
  <si>
    <t>Montana Grizzlies</t>
  </si>
  <si>
    <t>Montana State Bobcats</t>
  </si>
  <si>
    <t>Morehead State Eagles</t>
  </si>
  <si>
    <t>Morgan State Bears</t>
  </si>
  <si>
    <t>Mount St. Mary's Mountaineers</t>
  </si>
  <si>
    <t>Murray State Racers</t>
  </si>
  <si>
    <t>N.J.I.T Highlanders</t>
  </si>
  <si>
    <t>Navy Midshipmen</t>
  </si>
  <si>
    <t>Nebraska Cornhuskers</t>
  </si>
  <si>
    <t>Nevada Wolf Pack</t>
  </si>
  <si>
    <t>New Hampshire Wildcats</t>
  </si>
  <si>
    <t>New Mexico Lobos</t>
  </si>
  <si>
    <t>New Mexico State Aggies</t>
  </si>
  <si>
    <t>New Orleans Privateers</t>
  </si>
  <si>
    <t>Niagara Purple Eagles</t>
  </si>
  <si>
    <t>Nicholls State Colonels</t>
  </si>
  <si>
    <t>Norfolk State Spartans</t>
  </si>
  <si>
    <t>North Carolina Tar Heels</t>
  </si>
  <si>
    <t>North Carolina A&amp;T Aggies</t>
  </si>
  <si>
    <t>North Carolina Central Eagles</t>
  </si>
  <si>
    <t>North Carolina State Wolfpack</t>
  </si>
  <si>
    <t>North Carolina-Asheville Bulldogs</t>
  </si>
  <si>
    <t>North Carolina-Wilmington Seahawks</t>
  </si>
  <si>
    <t>North Dakota State Bison</t>
  </si>
  <si>
    <t>North Florida Ospreys</t>
  </si>
  <si>
    <t>North Texas Mean Green</t>
  </si>
  <si>
    <t>Northeastern Huskies</t>
  </si>
  <si>
    <t>Northern Arizona Lumberjacks</t>
  </si>
  <si>
    <t>Northern Colorado Bears</t>
  </si>
  <si>
    <t>Northern Illinois Huskies</t>
  </si>
  <si>
    <t>Northern Iowa Panthers</t>
  </si>
  <si>
    <t>Northwestern Wildcats</t>
  </si>
  <si>
    <t>Northwestern State Demons</t>
  </si>
  <si>
    <t>Notre Dame Fighting Irish</t>
  </si>
  <si>
    <t>Oakland Golden Grizzlies</t>
  </si>
  <si>
    <t>Ohio Bobcats</t>
  </si>
  <si>
    <t>Ohio State Buckeyes</t>
  </si>
  <si>
    <t>Oklahoma Sooners</t>
  </si>
  <si>
    <t>Oklahoma State Cowboys</t>
  </si>
  <si>
    <t>Old Dominion Monarchs</t>
  </si>
  <si>
    <t>Oral Roberts Golden Eagles</t>
  </si>
  <si>
    <t>Oregon Ducks</t>
  </si>
  <si>
    <t>Oregon State Beavers</t>
  </si>
  <si>
    <t>Pacific Tigers</t>
  </si>
  <si>
    <t>Penn State Nittany Lions</t>
  </si>
  <si>
    <t>Pennsylvania Quakers</t>
  </si>
  <si>
    <t>Pepperdine Waves</t>
  </si>
  <si>
    <t>Pittsburgh Panthers</t>
  </si>
  <si>
    <t>Portland Pilots</t>
  </si>
  <si>
    <t>Portland State Vikings</t>
  </si>
  <si>
    <t>Prairie View A&amp;M Panthers</t>
  </si>
  <si>
    <t>Presbyterian Blue Hose</t>
  </si>
  <si>
    <t>Princeton Tigers</t>
  </si>
  <si>
    <t>Providence Friars</t>
  </si>
  <si>
    <t>Purdue Boilermakers</t>
  </si>
  <si>
    <t>Quinnipiac Bobcats</t>
  </si>
  <si>
    <t>Radford Highlanders</t>
  </si>
  <si>
    <t>Rhode Island Rams</t>
  </si>
  <si>
    <t>Rice Owls</t>
  </si>
  <si>
    <t>Richmond Spiders</t>
  </si>
  <si>
    <t>Rider Broncs</t>
  </si>
  <si>
    <t>Robert Morris Colonials</t>
  </si>
  <si>
    <t>Rutgers Scarlet Knights</t>
  </si>
  <si>
    <t>Sacramento State Hornets</t>
  </si>
  <si>
    <t>Sacred Heart Pioneers</t>
  </si>
  <si>
    <t>Saint Louis Billikens</t>
  </si>
  <si>
    <t>Saint Mary's Gaels</t>
  </si>
  <si>
    <t>Sam Houston State Bearkats</t>
  </si>
  <si>
    <t>Samford Bulldogs</t>
  </si>
  <si>
    <t>San Diego Toreros</t>
  </si>
  <si>
    <t>San Diego State Aztecs</t>
  </si>
  <si>
    <t>San Francisco Dons</t>
  </si>
  <si>
    <t>San Jose State Spartans</t>
  </si>
  <si>
    <t>Santa Clara Broncos</t>
  </si>
  <si>
    <t>Savannah State Tigers</t>
  </si>
  <si>
    <t>Seattle Redhawks</t>
  </si>
  <si>
    <t>Seton Hall Pirates</t>
  </si>
  <si>
    <t>Siena Saints</t>
  </si>
  <si>
    <t>SIU-Edwardsville Cougars</t>
  </si>
  <si>
    <t>South Alabama Jaguars</t>
  </si>
  <si>
    <t>South Carolina Gamecocks</t>
  </si>
  <si>
    <t>South Carolina State Bulldogs</t>
  </si>
  <si>
    <t>South Dakota Coyotes</t>
  </si>
  <si>
    <t>South Dakota State Jackrabbits</t>
  </si>
  <si>
    <t>South Florida Bulls</t>
  </si>
  <si>
    <t>Southeast Missouri State Redhawks</t>
  </si>
  <si>
    <t>Southeastern Louisiana Lions</t>
  </si>
  <si>
    <t>Southern Illinois Salukis</t>
  </si>
  <si>
    <t>Southern Methodist Mustangs</t>
  </si>
  <si>
    <t>Southern Miss Golden Eagles</t>
  </si>
  <si>
    <t>Southern University Jaguars</t>
  </si>
  <si>
    <t>Southern Utah Thunderbirds</t>
  </si>
  <si>
    <t>St. Bonaventure Bonnies</t>
  </si>
  <si>
    <t>St. Francis (NY) Terriers</t>
  </si>
  <si>
    <t>St. Francis (PA) Red Flash</t>
  </si>
  <si>
    <t>St. John's Red Storm</t>
  </si>
  <si>
    <t>St. Peter's Peacocks</t>
  </si>
  <si>
    <t>Stanford Cardinal</t>
  </si>
  <si>
    <t>Stephen F. Austin Lumberjacks</t>
  </si>
  <si>
    <t>Stetson Hatters</t>
  </si>
  <si>
    <t>Stony Brook Seawolves</t>
  </si>
  <si>
    <t>Syracuse Orange</t>
  </si>
  <si>
    <t>TCU Horned Frogs</t>
  </si>
  <si>
    <t>Temple Owls</t>
  </si>
  <si>
    <t>Tennessee Volunteers</t>
  </si>
  <si>
    <t>Tennessee State Tigers</t>
  </si>
  <si>
    <t>Tennessee Tech Golden Eagles</t>
  </si>
  <si>
    <t>Tennessee-Martin Skyhawks</t>
  </si>
  <si>
    <t>Texas Longhorns</t>
  </si>
  <si>
    <t>Texas A&amp;M Aggies</t>
  </si>
  <si>
    <t>Texas A&amp;M-CC Islanders</t>
  </si>
  <si>
    <t>Texas Southern Tigers</t>
  </si>
  <si>
    <t>Texas State Bobcats</t>
  </si>
  <si>
    <t>Texas Tech Red Raiders</t>
  </si>
  <si>
    <t>Texas-Arlington Mavericks</t>
  </si>
  <si>
    <t>Texas-San Antonio Roadrunners</t>
  </si>
  <si>
    <t>Toledo Rockets</t>
  </si>
  <si>
    <t>Towson Tigers</t>
  </si>
  <si>
    <t>Troy Trojans</t>
  </si>
  <si>
    <t>Tulane Green Wave</t>
  </si>
  <si>
    <t>Tulsa Golden Hurricane</t>
  </si>
  <si>
    <t>UAB Blazers</t>
  </si>
  <si>
    <t>UC Davis Aggies</t>
  </si>
  <si>
    <t>UC Irvine Anteaters</t>
  </si>
  <si>
    <t>UC Riverside Highlanders</t>
  </si>
  <si>
    <t>UC Santa Barbara Gauchos</t>
  </si>
  <si>
    <t>UCF Knights</t>
  </si>
  <si>
    <t>UCLA Bruins</t>
  </si>
  <si>
    <t>UMBC Retrievers</t>
  </si>
  <si>
    <t>UMKC Kangaroos</t>
  </si>
  <si>
    <t>UNC Greensboro Spartans</t>
  </si>
  <si>
    <t>UNLV Rebels</t>
  </si>
  <si>
    <t>USC Trojans</t>
  </si>
  <si>
    <t>USC Upstate Spartans</t>
  </si>
  <si>
    <t>Utah Utes</t>
  </si>
  <si>
    <t>Utah State Aggies</t>
  </si>
  <si>
    <t>Utah Valley Wolverines</t>
  </si>
  <si>
    <t>UTEP Miners</t>
  </si>
  <si>
    <t>Valparaiso Crusaders</t>
  </si>
  <si>
    <t>Vanderbilt Commodores</t>
  </si>
  <si>
    <t>Vermont Catamounts</t>
  </si>
  <si>
    <t>Villanova Wildcats</t>
  </si>
  <si>
    <t>Virginia Cavaliers</t>
  </si>
  <si>
    <t>Virginia Commonwealth Rams</t>
  </si>
  <si>
    <t>Virginia Military Institute Keydets</t>
  </si>
  <si>
    <t>Virginia Tech Hokies</t>
  </si>
  <si>
    <t>Wagner Seahawks</t>
  </si>
  <si>
    <t>Wake Forest Demon Deacons</t>
  </si>
  <si>
    <t>Washington Huskies</t>
  </si>
  <si>
    <t>Washington State Cougars</t>
  </si>
  <si>
    <t>Weber State Wildcats</t>
  </si>
  <si>
    <t>West Virginia Mountaineers</t>
  </si>
  <si>
    <t>Western Carolina Catamounts</t>
  </si>
  <si>
    <t>Western Illinois Leathernecks</t>
  </si>
  <si>
    <t>Western Kentucky Hilltoppers</t>
  </si>
  <si>
    <t>Western Michigan Broncos</t>
  </si>
  <si>
    <t>Wichita State Shockers</t>
  </si>
  <si>
    <t>William &amp; Mary Tribe</t>
  </si>
  <si>
    <t>Winthrop Eagles</t>
  </si>
  <si>
    <t>Wisconsin Badgers</t>
  </si>
  <si>
    <t>Wofford Terriers</t>
  </si>
  <si>
    <t>Wright State Raiders</t>
  </si>
  <si>
    <t>Wyoming Cowboys</t>
  </si>
  <si>
    <t>Xavier Musketeers</t>
  </si>
  <si>
    <t>Yale Bulldogs</t>
  </si>
  <si>
    <t>Youngstown State Penguins</t>
  </si>
  <si>
    <t>Team</t>
  </si>
  <si>
    <t>Primary</t>
  </si>
  <si>
    <t>Secondary</t>
  </si>
  <si>
    <t>BIN</t>
  </si>
  <si>
    <t>MUL</t>
  </si>
  <si>
    <t>Primary - Binned</t>
  </si>
  <si>
    <t>Secondary - Binned</t>
  </si>
  <si>
    <t>Accent - Binned</t>
  </si>
  <si>
    <t>White</t>
  </si>
  <si>
    <t>Cyan</t>
  </si>
  <si>
    <t>Magenta</t>
  </si>
  <si>
    <t>Yellow</t>
  </si>
  <si>
    <t>Blue</t>
  </si>
  <si>
    <t>Green</t>
  </si>
  <si>
    <t>Red</t>
  </si>
  <si>
    <t>Black</t>
  </si>
  <si>
    <t>Dark Lime Green</t>
  </si>
  <si>
    <t>Dark Blue</t>
  </si>
  <si>
    <t>Dark Red</t>
  </si>
  <si>
    <t>Dark Gray</t>
  </si>
  <si>
    <t>Dark Yellow (Olive Tone)</t>
  </si>
  <si>
    <t>Dark Magenta</t>
  </si>
  <si>
    <t>Dark Cyan</t>
  </si>
  <si>
    <t>Dark Yellow</t>
  </si>
  <si>
    <t>Dark Green</t>
  </si>
  <si>
    <t>Very Light Yellow</t>
  </si>
  <si>
    <t>Very Light Magenta</t>
  </si>
  <si>
    <t>Very Light Cyan</t>
  </si>
  <si>
    <t>Pure (or mostly pure) Orange</t>
  </si>
  <si>
    <t>Pure (or mostly pure) Pink</t>
  </si>
  <si>
    <t>Pure (or mostly pure) Blue</t>
  </si>
  <si>
    <t>Azure</t>
  </si>
  <si>
    <t>Spring Green</t>
  </si>
  <si>
    <t>Pure( or mostly pure) Cyan - lime green</t>
  </si>
  <si>
    <t>Pure (or mostly pure) Violet</t>
  </si>
  <si>
    <t>Chartreuse</t>
  </si>
  <si>
    <t>Pure (or mostly pure) Green</t>
  </si>
  <si>
    <t>Very Light Red</t>
  </si>
  <si>
    <t>Very Light Lime Green</t>
  </si>
  <si>
    <t>Very Light Blue</t>
  </si>
  <si>
    <t>Light Yellow</t>
  </si>
  <si>
    <t>Light Cyan</t>
  </si>
  <si>
    <t>Light Magenta</t>
  </si>
  <si>
    <t>Light Blue</t>
  </si>
  <si>
    <t>Light Green</t>
  </si>
  <si>
    <t>Light Red</t>
  </si>
  <si>
    <t>Colouring</t>
  </si>
  <si>
    <t>Color</t>
  </si>
  <si>
    <t>Pseudo</t>
  </si>
  <si>
    <t>Brightness</t>
  </si>
  <si>
    <t>Violet</t>
  </si>
  <si>
    <t>Gray</t>
  </si>
  <si>
    <t>Orange</t>
  </si>
  <si>
    <t>Purple</t>
  </si>
  <si>
    <t>Rose</t>
  </si>
  <si>
    <t>Grey</t>
  </si>
  <si>
    <t>https://teamcolorcodes.com/ncaa-color-codes/</t>
  </si>
  <si>
    <t>https://www.colorhexa.com/</t>
  </si>
  <si>
    <t>Abiline Christian Wildcats</t>
  </si>
  <si>
    <t>Accent 1</t>
  </si>
  <si>
    <t>Accent 2</t>
  </si>
  <si>
    <t>Accent 3</t>
  </si>
  <si>
    <t>Accent 4</t>
  </si>
  <si>
    <t>Cal Baptist Lancers</t>
  </si>
  <si>
    <t>Gold</t>
  </si>
  <si>
    <t>Teal</t>
  </si>
  <si>
    <t>Maroon</t>
  </si>
  <si>
    <t>Grand Canyon Antelopes</t>
  </si>
  <si>
    <t>Incarnate Word Cardinals</t>
  </si>
  <si>
    <t>Merrimack Warriors</t>
  </si>
  <si>
    <t>Red2</t>
  </si>
  <si>
    <t>Green2</t>
  </si>
  <si>
    <t>Blue2</t>
  </si>
  <si>
    <t>Color2</t>
  </si>
  <si>
    <t>Red3</t>
  </si>
  <si>
    <t>Green3</t>
  </si>
  <si>
    <t>Blue3</t>
  </si>
  <si>
    <t>Color3</t>
  </si>
  <si>
    <t>Red4</t>
  </si>
  <si>
    <t>Green4</t>
  </si>
  <si>
    <t>Blue4</t>
  </si>
  <si>
    <t>Color4</t>
  </si>
  <si>
    <t>Red5</t>
  </si>
  <si>
    <t>Green5</t>
  </si>
  <si>
    <t>Blue5</t>
  </si>
  <si>
    <t>Color5</t>
  </si>
  <si>
    <t>Red6</t>
  </si>
  <si>
    <t>Green6</t>
  </si>
  <si>
    <t>Blue6</t>
  </si>
  <si>
    <t>Color6</t>
  </si>
  <si>
    <t>Red7</t>
  </si>
  <si>
    <t>Green7</t>
  </si>
  <si>
    <t>Blue7</t>
  </si>
  <si>
    <t>Color7</t>
  </si>
  <si>
    <t>Red8</t>
  </si>
  <si>
    <t>Green8</t>
  </si>
  <si>
    <t>Blue8</t>
  </si>
  <si>
    <t>Color8</t>
  </si>
  <si>
    <t>Red9</t>
  </si>
  <si>
    <t>Green9</t>
  </si>
  <si>
    <t>Blue9</t>
  </si>
  <si>
    <t>Color9</t>
  </si>
  <si>
    <t>%1-6</t>
  </si>
  <si>
    <t>Bracket</t>
  </si>
  <si>
    <t>North Alabama Lions</t>
  </si>
  <si>
    <t>North Dakota Fighting Hawks</t>
  </si>
  <si>
    <t>Northern Kentucky Norse</t>
  </si>
  <si>
    <t>Nebraska Omaha Mavericks</t>
  </si>
  <si>
    <t>St. Joseph's Hawks</t>
  </si>
  <si>
    <t>Texas-Rio Grande Valley Vaqueros</t>
  </si>
  <si>
    <t>UMass Lowell River Hawks</t>
  </si>
  <si>
    <t>Primary Count</t>
  </si>
  <si>
    <t>Secondary Count</t>
  </si>
  <si>
    <t>diffPrimary</t>
  </si>
  <si>
    <t>R</t>
  </si>
  <si>
    <t>G</t>
  </si>
  <si>
    <t>B</t>
  </si>
  <si>
    <t>diffSecondary</t>
  </si>
  <si>
    <t>diffPrimary2</t>
  </si>
  <si>
    <t>diffSecondary2</t>
  </si>
  <si>
    <t>Min</t>
  </si>
  <si>
    <t>MinSwap</t>
  </si>
  <si>
    <t>MinOrig</t>
  </si>
  <si>
    <t>Salmon</t>
  </si>
  <si>
    <t>Orange Yellow</t>
  </si>
  <si>
    <t>Dirty Orange</t>
  </si>
  <si>
    <t>Dirty Brown</t>
  </si>
  <si>
    <t>Off White</t>
  </si>
  <si>
    <t>Light Dirty Orange</t>
  </si>
  <si>
    <t>Reddish</t>
  </si>
  <si>
    <t>White-Blue</t>
  </si>
  <si>
    <t>Light Dirty Brown</t>
  </si>
  <si>
    <t>Off White 2</t>
  </si>
  <si>
    <t>Grey-Blue</t>
  </si>
  <si>
    <t>Red Violet</t>
  </si>
  <si>
    <t>Darker Blue</t>
  </si>
  <si>
    <t>Darkest Blue</t>
  </si>
  <si>
    <t>Tannish</t>
  </si>
  <si>
    <t>Navy</t>
  </si>
  <si>
    <t>Dark Violet</t>
  </si>
  <si>
    <t>Light Purple</t>
  </si>
  <si>
    <t>Dirty Tan</t>
  </si>
  <si>
    <t>Light Grey</t>
  </si>
  <si>
    <t>Dirty Light Salmon</t>
  </si>
  <si>
    <t>Dirty Maroon</t>
  </si>
  <si>
    <t>Dirty Teal</t>
  </si>
  <si>
    <t>Light Dirty Magenta</t>
  </si>
  <si>
    <t>Dirty Red</t>
  </si>
  <si>
    <t>Dirty Cyan</t>
  </si>
  <si>
    <t>Dirty Azure</t>
  </si>
  <si>
    <t>Dirty Dark Green</t>
  </si>
  <si>
    <t>Dirty Green</t>
  </si>
  <si>
    <t>Dirt</t>
  </si>
  <si>
    <t>Dirty Yellow</t>
  </si>
  <si>
    <t>Dirty Light Green</t>
  </si>
  <si>
    <t>Aquamarine</t>
  </si>
  <si>
    <t>Count</t>
  </si>
  <si>
    <t>f</t>
  </si>
  <si>
    <t>Rp</t>
  </si>
  <si>
    <t>Gp</t>
  </si>
  <si>
    <t>Bp</t>
  </si>
  <si>
    <t>Rs</t>
  </si>
  <si>
    <t>Gs</t>
  </si>
  <si>
    <t>Bs</t>
  </si>
  <si>
    <t>https://www.compuphase.com/cmetric.htm</t>
  </si>
  <si>
    <t>Uniqueness</t>
  </si>
  <si>
    <t>Input primary color</t>
  </si>
  <si>
    <t>Input secondary color</t>
  </si>
  <si>
    <t>Sort Min column to find best and worst matches</t>
  </si>
  <si>
    <t>Scroll right to red text</t>
  </si>
  <si>
    <t>these</t>
  </si>
  <si>
    <t>change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</si>
</sst>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1"/>
      <color theme="0"/>
      <name val="Calibri"/>
      <family val="2"/>
      <scheme val="minor"/>
    </font>
  </fonts>
  <fills count="786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231F20"/>
        <bgColor indexed="64"/>
      </patternFill>
    </fill>
    <fill>
      <patternFill patternType="solid">
        <fgColor rgb="FF143D8D"/>
        <bgColor indexed="64"/>
      </patternFill>
    </fill>
    <fill>
      <patternFill patternType="solid">
        <fgColor rgb="FFAD0000"/>
        <bgColor indexed="64"/>
      </patternFill>
    </fill>
    <fill>
      <patternFill patternType="solid">
        <fgColor rgb="FFB3B5B8"/>
        <bgColor indexed="64"/>
      </patternFill>
    </fill>
    <fill>
      <patternFill patternType="solid">
        <fgColor rgb="FF002D62"/>
        <bgColor indexed="64"/>
      </patternFill>
    </fill>
    <fill>
      <patternFill patternType="solid">
        <fgColor rgb="FFFFD204"/>
        <bgColor indexed="64"/>
      </patternFill>
    </fill>
    <fill>
      <patternFill patternType="solid">
        <fgColor rgb="FF003768"/>
        <bgColor indexed="64"/>
      </patternFill>
    </fill>
    <fill>
      <patternFill patternType="solid">
        <fgColor rgb="FFEEB211"/>
        <bgColor indexed="64"/>
      </patternFill>
    </fill>
    <fill>
      <patternFill patternType="solid">
        <fgColor rgb="FF00437B"/>
        <bgColor indexed="64"/>
      </patternFill>
    </fill>
    <fill>
      <patternFill patternType="solid">
        <fgColor rgb="FFA7A9AC"/>
        <bgColor indexed="64"/>
      </patternFill>
    </fill>
    <fill>
      <patternFill patternType="solid">
        <fgColor rgb="FFE51937"/>
        <bgColor indexed="64"/>
      </patternFill>
    </fill>
    <fill>
      <patternFill patternType="solid">
        <fgColor rgb="FFFFDD00"/>
        <bgColor indexed="64"/>
      </patternFill>
    </fill>
    <fill>
      <patternFill patternType="solid">
        <fgColor rgb="FF98002E"/>
        <bgColor indexed="64"/>
      </patternFill>
    </fill>
    <fill>
      <patternFill patternType="solid">
        <fgColor rgb="FF7F7F7F"/>
        <bgColor indexed="64"/>
      </patternFill>
    </fill>
    <fill>
      <patternFill patternType="solid">
        <fgColor rgb="FF008080"/>
        <bgColor indexed="64"/>
      </patternFill>
    </fill>
    <fill>
      <patternFill patternType="solid">
        <fgColor rgb="FFFF8080"/>
        <bgColor indexed="64"/>
      </patternFill>
    </fill>
    <fill>
      <patternFill patternType="solid">
        <fgColor rgb="FF00008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FF800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rgb="FF800080"/>
        <bgColor indexed="64"/>
      </patternFill>
    </fill>
    <fill>
      <patternFill patternType="solid">
        <fgColor rgb="FFFF0080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808000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80FFFF"/>
        <bgColor indexed="64"/>
      </patternFill>
    </fill>
    <fill>
      <patternFill patternType="solid">
        <fgColor rgb="FF0080FF"/>
        <bgColor indexed="64"/>
      </patternFill>
    </fill>
    <fill>
      <patternFill patternType="solid">
        <fgColor rgb="FF8080FF"/>
        <bgColor indexed="64"/>
      </patternFill>
    </fill>
    <fill>
      <patternFill patternType="solid">
        <fgColor rgb="FFAA000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00007F"/>
        <bgColor indexed="64"/>
      </patternFill>
    </fill>
    <fill>
      <patternFill patternType="solid">
        <fgColor rgb="FF007F00"/>
        <bgColor indexed="64"/>
      </patternFill>
    </fill>
    <fill>
      <patternFill patternType="solid">
        <fgColor rgb="FF7F0000"/>
        <bgColor indexed="64"/>
      </patternFill>
    </fill>
    <fill>
      <patternFill patternType="solid">
        <fgColor rgb="FF7F7F00"/>
        <bgColor indexed="64"/>
      </patternFill>
    </fill>
    <fill>
      <patternFill patternType="solid">
        <fgColor rgb="FF7F007F"/>
        <bgColor indexed="64"/>
      </patternFill>
    </fill>
    <fill>
      <patternFill patternType="solid">
        <fgColor rgb="FF007F7F"/>
        <bgColor indexed="64"/>
      </patternFill>
    </fill>
    <fill>
      <patternFill patternType="solid">
        <fgColor rgb="FF007FFF"/>
        <bgColor indexed="64"/>
      </patternFill>
    </fill>
    <fill>
      <patternFill patternType="solid">
        <fgColor rgb="FF00FF7F"/>
        <bgColor indexed="64"/>
      </patternFill>
    </fill>
    <fill>
      <patternFill patternType="solid">
        <fgColor rgb="FF7F00FF"/>
        <bgColor indexed="64"/>
      </patternFill>
    </fill>
    <fill>
      <patternFill patternType="solid">
        <fgColor rgb="FF7FFF00"/>
        <bgColor indexed="64"/>
      </patternFill>
    </fill>
    <fill>
      <patternFill patternType="solid">
        <fgColor rgb="FFFF007F"/>
        <bgColor indexed="64"/>
      </patternFill>
    </fill>
    <fill>
      <patternFill patternType="solid">
        <fgColor rgb="FFFF7F00"/>
        <bgColor indexed="64"/>
      </patternFill>
    </fill>
    <fill>
      <patternFill patternType="solid">
        <fgColor rgb="FF7F7FFF"/>
        <bgColor indexed="64"/>
      </patternFill>
    </fill>
    <fill>
      <patternFill patternType="solid">
        <fgColor rgb="FF7FFF7F"/>
        <bgColor indexed="64"/>
      </patternFill>
    </fill>
    <fill>
      <patternFill patternType="solid">
        <fgColor rgb="FFFF7F7F"/>
        <bgColor indexed="64"/>
      </patternFill>
    </fill>
    <fill>
      <patternFill patternType="solid">
        <fgColor rgb="FFFFFF7F"/>
        <bgColor indexed="64"/>
      </patternFill>
    </fill>
    <fill>
      <patternFill patternType="solid">
        <fgColor rgb="FF7FFFFF"/>
        <bgColor indexed="64"/>
      </patternFill>
    </fill>
    <fill>
      <patternFill patternType="solid">
        <fgColor rgb="FFFF7FFF"/>
        <bgColor indexed="64"/>
      </patternFill>
    </fill>
    <fill>
      <patternFill patternType="solid">
        <fgColor rgb="FF005DAA"/>
        <bgColor indexed="64"/>
      </patternFill>
    </fill>
    <fill>
      <patternFill patternType="solid">
        <fgColor rgb="FFFDB813"/>
        <bgColor indexed="64"/>
      </patternFill>
    </fill>
    <fill>
      <patternFill patternType="solid">
        <fgColor rgb="FFFFD700"/>
        <bgColor indexed="64"/>
      </patternFill>
    </fill>
    <fill>
      <patternFill patternType="solid">
        <fgColor rgb="FF929497"/>
        <bgColor indexed="64"/>
      </patternFill>
    </fill>
    <fill>
      <patternFill patternType="solid">
        <fgColor rgb="FF4F2170"/>
        <bgColor indexed="64"/>
      </patternFill>
    </fill>
    <fill>
      <patternFill patternType="solid">
        <fgColor rgb="FFC5C6C8"/>
        <bgColor indexed="64"/>
      </patternFill>
    </fill>
    <fill>
      <patternFill patternType="solid">
        <fgColor rgb="FF003087"/>
        <bgColor indexed="64"/>
      </patternFill>
    </fill>
    <fill>
      <patternFill patternType="solid">
        <fgColor rgb="FF8A8D8F"/>
        <bgColor indexed="64"/>
      </patternFill>
    </fill>
    <fill>
      <patternFill patternType="solid">
        <fgColor rgb="FFB1B3B3"/>
        <bgColor indexed="64"/>
      </patternFill>
    </fill>
    <fill>
      <patternFill patternType="solid">
        <fgColor rgb="FFFFC72C"/>
        <bgColor indexed="64"/>
      </patternFill>
    </fill>
    <fill>
      <patternFill patternType="solid">
        <fgColor rgb="FF041E42"/>
        <bgColor indexed="64"/>
      </patternFill>
    </fill>
    <fill>
      <patternFill patternType="solid">
        <fgColor rgb="FFA89968"/>
        <bgColor indexed="64"/>
      </patternFill>
    </fill>
    <fill>
      <patternFill patternType="solid">
        <fgColor rgb="FF660000"/>
        <bgColor indexed="64"/>
      </patternFill>
    </fill>
    <fill>
      <patternFill patternType="solid">
        <fgColor rgb="FF9E1B32"/>
        <bgColor indexed="64"/>
      </patternFill>
    </fill>
    <fill>
      <patternFill patternType="solid">
        <fgColor rgb="FF828A8F"/>
        <bgColor indexed="64"/>
      </patternFill>
    </fill>
    <fill>
      <patternFill patternType="solid">
        <fgColor rgb="FFC99700"/>
        <bgColor indexed="64"/>
      </patternFill>
    </fill>
    <fill>
      <patternFill patternType="solid">
        <fgColor rgb="FF46166B"/>
        <bgColor indexed="64"/>
      </patternFill>
    </fill>
    <fill>
      <patternFill patternType="solid">
        <fgColor rgb="FFCE8E00"/>
        <bgColor indexed="64"/>
      </patternFill>
    </fill>
    <fill>
      <patternFill patternType="solid">
        <fgColor rgb="FF4B306A"/>
        <bgColor indexed="64"/>
      </patternFill>
    </fill>
    <fill>
      <patternFill patternType="solid">
        <fgColor rgb="FFC41230"/>
        <bgColor indexed="64"/>
      </patternFill>
    </fill>
    <fill>
      <patternFill patternType="solid">
        <fgColor rgb="FF222222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CC0033"/>
        <bgColor indexed="64"/>
      </patternFill>
    </fill>
    <fill>
      <patternFill patternType="solid">
        <fgColor rgb="FF003366"/>
        <bgColor indexed="64"/>
      </patternFill>
    </fill>
    <fill>
      <patternFill patternType="solid">
        <fgColor rgb="FF8C1D40"/>
        <bgColor indexed="64"/>
      </patternFill>
    </fill>
    <fill>
      <patternFill patternType="solid">
        <fgColor rgb="FFFFC627"/>
        <bgColor indexed="64"/>
      </patternFill>
    </fill>
    <fill>
      <patternFill patternType="solid">
        <fgColor rgb="FF9D2235"/>
        <bgColor indexed="64"/>
      </patternFill>
    </fill>
    <fill>
      <patternFill patternType="solid">
        <fgColor rgb="FFEEB310"/>
        <bgColor indexed="64"/>
      </patternFill>
    </fill>
    <fill>
      <patternFill patternType="solid">
        <fgColor rgb="FFE31837"/>
        <bgColor indexed="64"/>
      </patternFill>
    </fill>
    <fill>
      <patternFill patternType="solid">
        <fgColor rgb="FF6E2639"/>
        <bgColor indexed="64"/>
      </patternFill>
    </fill>
    <fill>
      <patternFill patternType="solid">
        <fgColor rgb="FFD3BC8D"/>
        <bgColor indexed="64"/>
      </patternFill>
    </fill>
    <fill>
      <patternFill patternType="solid">
        <fgColor rgb="FF0C2340"/>
        <bgColor indexed="64"/>
      </patternFill>
    </fill>
    <fill>
      <patternFill patternType="solid">
        <fgColor rgb="FFE87722"/>
        <bgColor indexed="64"/>
      </patternFill>
    </fill>
    <fill>
      <patternFill patternType="solid">
        <fgColor rgb="FFC41E3A"/>
        <bgColor indexed="64"/>
      </patternFill>
    </fill>
    <fill>
      <patternFill patternType="solid">
        <fgColor rgb="FFADAFAA"/>
        <bgColor indexed="64"/>
      </patternFill>
    </fill>
    <fill>
      <patternFill patternType="solid">
        <fgColor rgb="FFBA0C2F"/>
        <bgColor indexed="64"/>
      </patternFill>
    </fill>
    <fill>
      <patternFill patternType="solid">
        <fgColor rgb="FF1D3C34"/>
        <bgColor indexed="64"/>
      </patternFill>
    </fill>
    <fill>
      <patternFill patternType="solid">
        <fgColor rgb="FFFFB81C"/>
        <bgColor indexed="64"/>
      </patternFill>
    </fill>
    <fill>
      <patternFill patternType="solid">
        <fgColor rgb="FFC8102E"/>
        <bgColor indexed="64"/>
      </patternFill>
    </fill>
    <fill>
      <patternFill patternType="solid">
        <fgColor rgb="FF00205B"/>
        <bgColor indexed="64"/>
      </patternFill>
    </fill>
    <fill>
      <patternFill patternType="solid">
        <fgColor rgb="FFFDB913"/>
        <bgColor indexed="64"/>
      </patternFill>
    </fill>
    <fill>
      <patternFill patternType="solid">
        <fgColor rgb="FF860038"/>
        <bgColor indexed="64"/>
      </patternFill>
    </fill>
    <fill>
      <patternFill patternType="solid">
        <fgColor rgb="FF005A43"/>
        <bgColor indexed="64"/>
      </patternFill>
    </fill>
    <fill>
      <patternFill patternType="solid">
        <fgColor rgb="FF169B62"/>
        <bgColor indexed="64"/>
      </patternFill>
    </fill>
    <fill>
      <patternFill patternType="solid">
        <fgColor rgb="FFBF0D3E"/>
        <bgColor indexed="64"/>
      </patternFill>
    </fill>
    <fill>
      <patternFill patternType="solid">
        <fgColor rgb="FFD64309"/>
        <bgColor indexed="64"/>
      </patternFill>
    </fill>
    <fill>
      <patternFill patternType="solid">
        <fgColor rgb="FF0033A0"/>
        <bgColor indexed="64"/>
      </patternFill>
    </fill>
    <fill>
      <patternFill patternType="solid">
        <fgColor rgb="FF73000A"/>
        <bgColor indexed="64"/>
      </patternFill>
    </fill>
    <fill>
      <patternFill patternType="solid">
        <fgColor rgb="FFCBB677"/>
        <bgColor indexed="64"/>
      </patternFill>
    </fill>
    <fill>
      <patternFill patternType="solid">
        <fgColor rgb="FF6E6259"/>
        <bgColor indexed="64"/>
      </patternFill>
    </fill>
    <fill>
      <patternFill patternType="solid">
        <fgColor rgb="FFCC0000"/>
        <bgColor indexed="64"/>
      </patternFill>
    </fill>
    <fill>
      <patternFill patternType="solid">
        <fgColor rgb="FFA3011B"/>
        <bgColor indexed="64"/>
      </patternFill>
    </fill>
    <fill>
      <patternFill patternType="solid">
        <fgColor rgb="FFE6E6E7"/>
        <bgColor indexed="64"/>
      </patternFill>
    </fill>
    <fill>
      <patternFill patternType="solid">
        <fgColor rgb="FFFE5000"/>
        <bgColor indexed="64"/>
      </patternFill>
    </fill>
    <fill>
      <patternFill patternType="solid">
        <fgColor rgb="FF4F2C1D"/>
        <bgColor indexed="64"/>
      </patternFill>
    </fill>
    <fill>
      <patternFill patternType="solid">
        <fgColor rgb="FFCDA077"/>
        <bgColor indexed="64"/>
      </patternFill>
    </fill>
    <fill>
      <patternFill patternType="solid">
        <fgColor rgb="FFA50000"/>
        <bgColor indexed="64"/>
      </patternFill>
    </fill>
    <fill>
      <patternFill patternType="solid">
        <fgColor rgb="FF999999"/>
        <bgColor indexed="64"/>
      </patternFill>
    </fill>
    <fill>
      <patternFill patternType="solid">
        <fgColor rgb="FF002E5D"/>
        <bgColor indexed="64"/>
      </patternFill>
    </fill>
    <fill>
      <patternFill patternType="solid">
        <fgColor rgb="FF0057B8"/>
        <bgColor indexed="64"/>
      </patternFill>
    </fill>
    <fill>
      <patternFill patternType="solid">
        <fgColor rgb="FF4E3629"/>
        <bgColor indexed="64"/>
      </patternFill>
    </fill>
    <fill>
      <patternFill patternType="solid">
        <fgColor rgb="FF7C2529"/>
        <bgColor indexed="64"/>
      </patternFill>
    </fill>
    <fill>
      <patternFill patternType="solid">
        <fgColor rgb="FFE4002B"/>
        <bgColor indexed="64"/>
      </patternFill>
    </fill>
    <fill>
      <patternFill patternType="solid">
        <fgColor rgb="FFB4975B"/>
        <bgColor indexed="64"/>
      </patternFill>
    </fill>
    <fill>
      <patternFill patternType="solid">
        <fgColor rgb="FFC9BB8C"/>
        <bgColor indexed="64"/>
      </patternFill>
    </fill>
    <fill>
      <patternFill patternType="solid">
        <fgColor rgb="FF818286"/>
        <bgColor indexed="64"/>
      </patternFill>
    </fill>
    <fill>
      <patternFill patternType="solid">
        <fgColor rgb="FF003865"/>
        <bgColor indexed="64"/>
      </patternFill>
    </fill>
    <fill>
      <patternFill patternType="solid">
        <fgColor rgb="FF005BBB"/>
        <bgColor indexed="64"/>
      </patternFill>
    </fill>
    <fill>
      <patternFill patternType="solid">
        <fgColor rgb="FF13294B"/>
        <bgColor indexed="64"/>
      </patternFill>
    </fill>
    <fill>
      <patternFill patternType="solid">
        <fgColor rgb="FF747678"/>
        <bgColor indexed="64"/>
      </patternFill>
    </fill>
    <fill>
      <patternFill patternType="solid">
        <fgColor rgb="FFD1E0D7"/>
        <bgColor indexed="64"/>
      </patternFill>
    </fill>
    <fill>
      <patternFill patternType="solid">
        <fgColor rgb="FFCCCCCC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FFCC33"/>
        <bgColor indexed="64"/>
      </patternFill>
    </fill>
    <fill>
      <patternFill patternType="solid">
        <fgColor rgb="FF006633"/>
        <bgColor indexed="64"/>
      </patternFill>
    </fill>
    <fill>
      <patternFill patternType="solid">
        <fgColor rgb="FF666666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0066CC"/>
        <bgColor indexed="64"/>
      </patternFill>
    </fill>
    <fill>
      <patternFill patternType="solid">
        <fgColor rgb="FF003831"/>
        <bgColor indexed="64"/>
      </patternFill>
    </fill>
    <fill>
      <patternFill patternType="solid">
        <fgColor rgb="FFFFE395"/>
        <bgColor indexed="64"/>
      </patternFill>
    </fill>
    <fill>
      <patternFill patternType="solid">
        <fgColor rgb="FFB38F4F"/>
        <bgColor indexed="64"/>
      </patternFill>
    </fill>
    <fill>
      <patternFill patternType="solid">
        <fgColor rgb="FF00274C"/>
        <bgColor indexed="64"/>
      </patternFill>
    </fill>
    <fill>
      <patternFill patternType="solid">
        <fgColor rgb="FFDC8218"/>
        <bgColor indexed="64"/>
      </patternFill>
    </fill>
    <fill>
      <patternFill patternType="solid">
        <fgColor rgb="FF002554"/>
        <bgColor indexed="64"/>
      </patternFill>
    </fill>
    <fill>
      <patternFill patternType="solid">
        <fgColor rgb="FFA37400"/>
        <bgColor indexed="64"/>
      </patternFill>
    </fill>
    <fill>
      <patternFill patternType="solid">
        <fgColor rgb="FF003262"/>
        <bgColor indexed="64"/>
      </patternFill>
    </fill>
    <fill>
      <patternFill patternType="solid">
        <fgColor rgb="FF3B7EA1"/>
        <bgColor indexed="64"/>
      </patternFill>
    </fill>
    <fill>
      <patternFill patternType="solid">
        <fgColor rgb="FFFDB515"/>
        <bgColor indexed="64"/>
      </patternFill>
    </fill>
    <fill>
      <patternFill patternType="solid">
        <fgColor rgb="FFC4820E"/>
        <bgColor indexed="64"/>
      </patternFill>
    </fill>
    <fill>
      <patternFill patternType="solid">
        <fgColor rgb="FFF58025"/>
        <bgColor indexed="64"/>
      </patternFill>
    </fill>
    <fill>
      <patternFill patternType="solid">
        <fgColor rgb="FFFFBA00"/>
        <bgColor indexed="64"/>
      </patternFill>
    </fill>
    <fill>
      <patternFill patternType="solid">
        <fgColor rgb="FF4F2D7F"/>
        <bgColor indexed="64"/>
      </patternFill>
    </fill>
    <fill>
      <patternFill patternType="solid">
        <fgColor rgb="FF818A8F"/>
        <bgColor indexed="64"/>
      </patternFill>
    </fill>
    <fill>
      <patternFill patternType="solid">
        <fgColor rgb="FF00539B"/>
        <bgColor indexed="64"/>
      </patternFill>
    </fill>
    <fill>
      <patternFill patternType="solid">
        <fgColor rgb="FFCFD4D8"/>
        <bgColor indexed="64"/>
      </patternFill>
    </fill>
    <fill>
      <patternFill patternType="solid">
        <fgColor rgb="FF6A0032"/>
        <bgColor indexed="64"/>
      </patternFill>
    </fill>
    <fill>
      <patternFill patternType="solid">
        <fgColor rgb="FFFFC82E"/>
        <bgColor indexed="64"/>
      </patternFill>
    </fill>
    <fill>
      <patternFill patternType="solid">
        <fgColor rgb="FF9D8958"/>
        <bgColor indexed="64"/>
      </patternFill>
    </fill>
    <fill>
      <patternFill patternType="solid">
        <fgColor rgb="FFD9D9D6"/>
        <bgColor indexed="64"/>
      </patternFill>
    </fill>
    <fill>
      <patternFill patternType="solid">
        <fgColor rgb="FFC5B783"/>
        <bgColor indexed="64"/>
      </patternFill>
    </fill>
    <fill>
      <patternFill patternType="solid">
        <fgColor rgb="FFA8996E"/>
        <bgColor indexed="64"/>
      </patternFill>
    </fill>
    <fill>
      <patternFill patternType="solid">
        <fgColor rgb="FF002855"/>
        <bgColor indexed="64"/>
      </patternFill>
    </fill>
    <fill>
      <patternFill patternType="solid">
        <fgColor rgb="FF046A38"/>
        <bgColor indexed="64"/>
      </patternFill>
    </fill>
    <fill>
      <patternFill patternType="solid">
        <fgColor rgb="FFB9975B"/>
        <bgColor indexed="64"/>
      </patternFill>
    </fill>
    <fill>
      <patternFill patternType="solid">
        <fgColor rgb="FF27251F"/>
        <bgColor indexed="64"/>
      </patternFill>
    </fill>
    <fill>
      <patternFill patternType="solid">
        <fgColor rgb="FF00386B"/>
        <bgColor indexed="64"/>
      </patternFill>
    </fill>
    <fill>
      <patternFill patternType="solid">
        <fgColor rgb="FFE0AA0F"/>
        <bgColor indexed="64"/>
      </patternFill>
    </fill>
    <fill>
      <patternFill patternType="solid">
        <fgColor rgb="FF006666"/>
        <bgColor indexed="64"/>
      </patternFill>
    </fill>
    <fill>
      <patternFill patternType="solid">
        <fgColor rgb="FFE00122"/>
        <bgColor indexed="64"/>
      </patternFill>
    </fill>
    <fill>
      <patternFill patternType="solid">
        <fgColor rgb="FF3975B7"/>
        <bgColor indexed="64"/>
      </patternFill>
    </fill>
    <fill>
      <patternFill patternType="solid">
        <fgColor rgb="FF1F3A60"/>
        <bgColor indexed="64"/>
      </patternFill>
    </fill>
    <fill>
      <patternFill patternType="solid">
        <fgColor rgb="FFF56600"/>
        <bgColor indexed="64"/>
      </patternFill>
    </fill>
    <fill>
      <patternFill patternType="solid">
        <fgColor rgb="FF522D80"/>
        <bgColor indexed="64"/>
      </patternFill>
    </fill>
    <fill>
      <patternFill patternType="solid">
        <fgColor rgb="FF006747"/>
        <bgColor indexed="64"/>
      </patternFill>
    </fill>
    <fill>
      <patternFill patternType="solid">
        <fgColor rgb="FF006F71"/>
        <bgColor indexed="64"/>
      </patternFill>
    </fill>
    <fill>
      <patternFill patternType="solid">
        <fgColor rgb="FFA27752"/>
        <bgColor indexed="64"/>
      </patternFill>
    </fill>
    <fill>
      <patternFill patternType="solid">
        <fgColor rgb="FF821019"/>
        <bgColor indexed="64"/>
      </patternFill>
    </fill>
    <fill>
      <patternFill patternType="solid">
        <fgColor rgb="FFE10028"/>
        <bgColor indexed="64"/>
      </patternFill>
    </fill>
    <fill>
      <patternFill patternType="solid">
        <fgColor rgb="FF5A646E"/>
        <bgColor indexed="64"/>
      </patternFill>
    </fill>
    <fill>
      <patternFill patternType="solid">
        <fgColor rgb="FFD2D4D6"/>
        <bgColor indexed="64"/>
      </patternFill>
    </fill>
    <fill>
      <patternFill patternType="solid">
        <fgColor rgb="FFCFB87C"/>
        <bgColor indexed="64"/>
      </patternFill>
    </fill>
    <fill>
      <patternFill patternType="solid">
        <fgColor rgb="FF565A5C"/>
        <bgColor indexed="64"/>
      </patternFill>
    </fill>
    <fill>
      <patternFill patternType="solid">
        <fgColor rgb="FFA2A4A3"/>
        <bgColor indexed="64"/>
      </patternFill>
    </fill>
    <fill>
      <patternFill patternType="solid">
        <fgColor rgb="FF4B92DB"/>
        <bgColor indexed="64"/>
      </patternFill>
    </fill>
    <fill>
      <patternFill patternType="solid">
        <fgColor rgb="FF1E4D2B"/>
        <bgColor indexed="64"/>
      </patternFill>
    </fill>
    <fill>
      <patternFill patternType="solid">
        <fgColor rgb="FFC8C372"/>
        <bgColor indexed="64"/>
      </patternFill>
    </fill>
    <fill>
      <patternFill patternType="solid">
        <fgColor rgb="FF9BCBEB"/>
        <bgColor indexed="64"/>
      </patternFill>
    </fill>
    <fill>
      <patternFill patternType="solid">
        <fgColor rgb="FF000E2F"/>
        <bgColor indexed="64"/>
      </patternFill>
    </fill>
    <fill>
      <patternFill patternType="solid">
        <fgColor rgb="FF7C878E"/>
        <bgColor indexed="64"/>
      </patternFill>
    </fill>
    <fill>
      <patternFill patternType="solid">
        <fgColor rgb="FFA2AAAD"/>
        <bgColor indexed="64"/>
      </patternFill>
    </fill>
    <fill>
      <patternFill patternType="solid">
        <fgColor rgb="FFA4C8E1"/>
        <bgColor indexed="64"/>
      </patternFill>
    </fill>
    <fill>
      <patternFill patternType="solid">
        <fgColor rgb="FF003594"/>
        <bgColor indexed="64"/>
      </patternFill>
    </fill>
    <fill>
      <patternFill patternType="solid">
        <fgColor rgb="FFCF0A2C"/>
        <bgColor indexed="64"/>
      </patternFill>
    </fill>
    <fill>
      <patternFill patternType="solid">
        <fgColor rgb="FFC3C5C8"/>
        <bgColor indexed="64"/>
      </patternFill>
    </fill>
    <fill>
      <patternFill patternType="solid">
        <fgColor rgb="FF003056"/>
        <bgColor indexed="64"/>
      </patternFill>
    </fill>
    <fill>
      <patternFill patternType="solid">
        <fgColor rgb="FFFFC915"/>
        <bgColor indexed="64"/>
      </patternFill>
    </fill>
    <fill>
      <patternFill patternType="solid">
        <fgColor rgb="FFA6192E"/>
        <bgColor indexed="64"/>
      </patternFill>
    </fill>
    <fill>
      <patternFill patternType="solid">
        <fgColor rgb="FF5E3920"/>
        <bgColor indexed="64"/>
      </patternFill>
    </fill>
    <fill>
      <patternFill patternType="solid">
        <fgColor rgb="FF89572E"/>
        <bgColor indexed="64"/>
      </patternFill>
    </fill>
    <fill>
      <patternFill patternType="solid">
        <fgColor rgb="FF00245D"/>
        <bgColor indexed="64"/>
      </patternFill>
    </fill>
    <fill>
      <patternFill patternType="solid">
        <fgColor rgb="FF6CADDF"/>
        <bgColor indexed="64"/>
      </patternFill>
    </fill>
    <fill>
      <patternFill patternType="solid">
        <fgColor rgb="FF828282"/>
        <bgColor indexed="64"/>
      </patternFill>
    </fill>
    <fill>
      <patternFill patternType="solid">
        <fgColor rgb="FFC8C8C8"/>
        <bgColor indexed="64"/>
      </patternFill>
    </fill>
    <fill>
      <patternFill patternType="solid">
        <fgColor rgb="FF005F2F"/>
        <bgColor indexed="64"/>
      </patternFill>
    </fill>
    <fill>
      <patternFill patternType="solid">
        <fgColor rgb="FFAC1A2F"/>
        <bgColor indexed="64"/>
      </patternFill>
    </fill>
    <fill>
      <patternFill patternType="solid">
        <fgColor rgb="FFCE1141"/>
        <bgColor indexed="64"/>
      </patternFill>
    </fill>
    <fill>
      <patternFill patternType="solid">
        <fgColor rgb="FF004B8D"/>
        <bgColor indexed="64"/>
      </patternFill>
    </fill>
    <fill>
      <patternFill patternType="solid">
        <fgColor rgb="FFF80228"/>
        <bgColor indexed="64"/>
      </patternFill>
    </fill>
    <fill>
      <patternFill patternType="solid">
        <fgColor rgb="FF0200D1"/>
        <bgColor indexed="64"/>
      </patternFill>
    </fill>
    <fill>
      <patternFill patternType="solid">
        <fgColor rgb="FF00539F"/>
        <bgColor indexed="64"/>
      </patternFill>
    </fill>
    <fill>
      <patternFill patternType="solid">
        <fgColor rgb="FFFFDD31"/>
        <bgColor indexed="64"/>
      </patternFill>
    </fill>
    <fill>
      <patternFill patternType="solid">
        <fgColor rgb="FFFFD200"/>
        <bgColor indexed="64"/>
      </patternFill>
    </fill>
    <fill>
      <patternFill patternType="solid">
        <fgColor rgb="FFEE3124"/>
        <bgColor indexed="64"/>
      </patternFill>
    </fill>
    <fill>
      <patternFill patternType="solid">
        <fgColor rgb="FF72CDF4"/>
        <bgColor indexed="64"/>
      </patternFill>
    </fill>
    <fill>
      <patternFill patternType="solid">
        <fgColor rgb="FF009DDC"/>
        <bgColor indexed="64"/>
      </patternFill>
    </fill>
    <fill>
      <patternFill patternType="solid">
        <fgColor rgb="FF8B2332"/>
        <bgColor indexed="64"/>
      </patternFill>
    </fill>
    <fill>
      <patternFill patternType="solid">
        <fgColor rgb="FF8B6F4B"/>
        <bgColor indexed="64"/>
      </patternFill>
    </fill>
    <fill>
      <patternFill patternType="solid">
        <fgColor rgb="FF005EB8"/>
        <bgColor indexed="64"/>
      </patternFill>
    </fill>
    <fill>
      <patternFill patternType="solid">
        <fgColor rgb="FFA6093D"/>
        <bgColor indexed="64"/>
      </patternFill>
    </fill>
    <fill>
      <patternFill patternType="solid">
        <fgColor rgb="FF002D72"/>
        <bgColor indexed="64"/>
      </patternFill>
    </fill>
    <fill>
      <patternFill patternType="solid">
        <fgColor rgb="FFD7D2CB"/>
        <bgColor indexed="64"/>
      </patternFill>
    </fill>
    <fill>
      <patternFill patternType="solid">
        <fgColor rgb="FF002F6C"/>
        <bgColor indexed="64"/>
      </patternFill>
    </fill>
    <fill>
      <patternFill patternType="solid">
        <fgColor rgb="FFFFDA02"/>
        <bgColor indexed="64"/>
      </patternFill>
    </fill>
    <fill>
      <patternFill patternType="solid">
        <fgColor rgb="FF012169"/>
        <bgColor indexed="64"/>
      </patternFill>
    </fill>
    <fill>
      <patternFill patternType="solid">
        <fgColor rgb="FF592A8A"/>
        <bgColor indexed="64"/>
      </patternFill>
    </fill>
    <fill>
      <patternFill patternType="solid">
        <fgColor rgb="FFFDC82F"/>
        <bgColor indexed="64"/>
      </patternFill>
    </fill>
    <fill>
      <patternFill patternType="solid">
        <fgColor rgb="FF919295"/>
        <bgColor indexed="64"/>
      </patternFill>
    </fill>
    <fill>
      <patternFill patternType="solid">
        <fgColor rgb="FF004B83"/>
        <bgColor indexed="64"/>
      </patternFill>
    </fill>
    <fill>
      <patternFill patternType="solid">
        <fgColor rgb="FF4C151E"/>
        <bgColor indexed="64"/>
      </patternFill>
    </fill>
    <fill>
      <patternFill patternType="solid">
        <fgColor rgb="FF00693F"/>
        <bgColor indexed="64"/>
      </patternFill>
    </fill>
    <fill>
      <patternFill patternType="solid">
        <fgColor rgb="FFA71933"/>
        <bgColor indexed="64"/>
      </patternFill>
    </fill>
    <fill>
      <patternFill patternType="solid">
        <fgColor rgb="FF6D6E71"/>
        <bgColor indexed="64"/>
      </patternFill>
    </fill>
    <fill>
      <patternFill patternType="solid">
        <fgColor rgb="FFB59A57"/>
        <bgColor indexed="64"/>
      </patternFill>
    </fill>
    <fill>
      <patternFill patternType="solid">
        <fgColor rgb="FF52237F"/>
        <bgColor indexed="64"/>
      </patternFill>
    </fill>
    <fill>
      <patternFill patternType="solid">
        <fgColor rgb="FFF36F21"/>
        <bgColor indexed="64"/>
      </patternFill>
    </fill>
    <fill>
      <patternFill patternType="solid">
        <fgColor rgb="FFE03A3E"/>
        <bgColor indexed="64"/>
      </patternFill>
    </fill>
    <fill>
      <patternFill patternType="solid">
        <fgColor rgb="FFBCBEC0"/>
        <bgColor indexed="64"/>
      </patternFill>
    </fill>
    <fill>
      <patternFill patternType="solid">
        <fgColor rgb="FF28334A"/>
        <bgColor indexed="64"/>
      </patternFill>
    </fill>
    <fill>
      <patternFill patternType="solid">
        <fgColor rgb="FF72293C"/>
        <bgColor indexed="64"/>
      </patternFill>
    </fill>
    <fill>
      <patternFill patternType="solid">
        <fgColor rgb="FF0021A5"/>
        <bgColor indexed="64"/>
      </patternFill>
    </fill>
    <fill>
      <patternFill patternType="solid">
        <fgColor rgb="FFFA4616"/>
        <bgColor indexed="64"/>
      </patternFill>
    </fill>
    <fill>
      <patternFill patternType="solid">
        <fgColor rgb="FFEE7624"/>
        <bgColor indexed="64"/>
      </patternFill>
    </fill>
    <fill>
      <patternFill patternType="solid">
        <fgColor rgb="FF1B5633"/>
        <bgColor indexed="64"/>
      </patternFill>
    </fill>
    <fill>
      <patternFill patternType="solid">
        <fgColor rgb="FF0E0C0D"/>
        <bgColor indexed="64"/>
      </patternFill>
    </fill>
    <fill>
      <patternFill patternType="solid">
        <fgColor rgb="FF007749"/>
        <bgColor indexed="64"/>
      </patternFill>
    </fill>
    <fill>
      <patternFill patternType="solid">
        <fgColor rgb="FF081E3F"/>
        <bgColor indexed="64"/>
      </patternFill>
    </fill>
    <fill>
      <patternFill patternType="solid">
        <fgColor rgb="FFB6862C"/>
        <bgColor indexed="64"/>
      </patternFill>
    </fill>
    <fill>
      <patternFill patternType="solid">
        <fgColor rgb="FF782F40"/>
        <bgColor indexed="64"/>
      </patternFill>
    </fill>
    <fill>
      <patternFill patternType="solid">
        <fgColor rgb="FFCEB888"/>
        <bgColor indexed="64"/>
      </patternFill>
    </fill>
    <fill>
      <patternFill patternType="solid">
        <fgColor rgb="FFDB0032"/>
        <bgColor indexed="64"/>
      </patternFill>
    </fill>
    <fill>
      <patternFill patternType="solid">
        <fgColor rgb="FF002E6D"/>
        <bgColor indexed="64"/>
      </patternFill>
    </fill>
    <fill>
      <patternFill patternType="solid">
        <fgColor rgb="FF007934"/>
        <bgColor indexed="64"/>
      </patternFill>
    </fill>
    <fill>
      <patternFill patternType="solid">
        <fgColor rgb="FF201547"/>
        <bgColor indexed="64"/>
      </patternFill>
    </fill>
    <fill>
      <patternFill patternType="solid">
        <fgColor rgb="FF582C83"/>
        <bgColor indexed="64"/>
      </patternFill>
    </fill>
    <fill>
      <patternFill patternType="solid">
        <fgColor rgb="FFA7A8AA"/>
        <bgColor indexed="64"/>
      </patternFill>
    </fill>
    <fill>
      <patternFill patternType="solid">
        <fgColor rgb="FFBF2F38"/>
        <bgColor indexed="64"/>
      </patternFill>
    </fill>
    <fill>
      <patternFill patternType="solid">
        <fgColor rgb="FF1E6238"/>
        <bgColor indexed="64"/>
      </patternFill>
    </fill>
    <fill>
      <patternFill patternType="solid">
        <fgColor rgb="FFE2A82B"/>
        <bgColor indexed="64"/>
      </patternFill>
    </fill>
    <fill>
      <patternFill patternType="solid">
        <fgColor rgb="FFE2CB92"/>
        <bgColor indexed="64"/>
      </patternFill>
    </fill>
    <fill>
      <patternFill patternType="solid">
        <fgColor rgb="FF002654"/>
        <bgColor indexed="64"/>
      </patternFill>
    </fill>
    <fill>
      <patternFill patternType="solid">
        <fgColor rgb="FF8D817B"/>
        <bgColor indexed="64"/>
      </patternFill>
    </fill>
    <fill>
      <patternFill patternType="solid">
        <fgColor rgb="FF011E41"/>
        <bgColor indexed="64"/>
      </patternFill>
    </fill>
    <fill>
      <patternFill patternType="solid">
        <fgColor rgb="FFA3AAAE"/>
        <bgColor indexed="64"/>
      </patternFill>
    </fill>
    <fill>
      <patternFill patternType="solid">
        <fgColor rgb="FF87714D"/>
        <bgColor indexed="64"/>
      </patternFill>
    </fill>
    <fill>
      <patternFill patternType="solid">
        <fgColor rgb="FF0039A6"/>
        <bgColor indexed="64"/>
      </patternFill>
    </fill>
    <fill>
      <patternFill patternType="solid">
        <fgColor rgb="FFC60C30"/>
        <bgColor indexed="64"/>
      </patternFill>
    </fill>
    <fill>
      <patternFill patternType="solid">
        <fgColor rgb="FFB3A369"/>
        <bgColor indexed="64"/>
      </patternFill>
    </fill>
    <fill>
      <patternFill patternType="solid">
        <fgColor rgb="FFA28D5B"/>
        <bgColor indexed="64"/>
      </patternFill>
    </fill>
    <fill>
      <patternFill patternType="solid">
        <fgColor rgb="FF003057"/>
        <bgColor indexed="64"/>
      </patternFill>
    </fill>
    <fill>
      <patternFill patternType="solid">
        <fgColor rgb="FFC1C6C8"/>
        <bgColor indexed="64"/>
      </patternFill>
    </fill>
    <fill>
      <patternFill patternType="solid">
        <fgColor rgb="FFEAA921"/>
        <bgColor indexed="64"/>
      </patternFill>
    </fill>
    <fill>
      <patternFill patternType="solid">
        <fgColor rgb="FF5F259F"/>
        <bgColor indexed="64"/>
      </patternFill>
    </fill>
    <fill>
      <patternFill patternType="solid">
        <fgColor rgb="FF0060A9"/>
        <bgColor indexed="64"/>
      </patternFill>
    </fill>
    <fill>
      <patternFill patternType="solid">
        <fgColor rgb="FFC02427"/>
        <bgColor indexed="64"/>
      </patternFill>
    </fill>
    <fill>
      <patternFill patternType="solid">
        <fgColor rgb="FFA41034"/>
        <bgColor indexed="64"/>
      </patternFill>
    </fill>
    <fill>
      <patternFill patternType="solid">
        <fgColor rgb="FF808285"/>
        <bgColor indexed="64"/>
      </patternFill>
    </fill>
    <fill>
      <patternFill patternType="solid">
        <fgColor rgb="FFB6B6B6"/>
        <bgColor indexed="64"/>
      </patternFill>
    </fill>
    <fill>
      <patternFill patternType="solid">
        <fgColor rgb="FF024731"/>
        <bgColor indexed="64"/>
      </patternFill>
    </fill>
    <fill>
      <patternFill patternType="solid">
        <fgColor rgb="FF330072"/>
        <bgColor indexed="64"/>
      </patternFill>
    </fill>
    <fill>
      <patternFill patternType="solid">
        <fgColor rgb="FF0C2E87"/>
        <bgColor indexed="64"/>
      </patternFill>
    </fill>
    <fill>
      <patternFill patternType="solid">
        <fgColor rgb="FFFFC211"/>
        <bgColor indexed="64"/>
      </patternFill>
    </fill>
    <fill>
      <patternFill patternType="solid">
        <fgColor rgb="FF602D89"/>
        <bgColor indexed="64"/>
      </patternFill>
    </fill>
    <fill>
      <patternFill patternType="solid">
        <fgColor rgb="FFC92A39"/>
        <bgColor indexed="64"/>
      </patternFill>
    </fill>
    <fill>
      <patternFill patternType="solid">
        <fgColor rgb="FF7D2935"/>
        <bgColor indexed="64"/>
      </patternFill>
    </fill>
    <fill>
      <patternFill patternType="solid">
        <fgColor rgb="FFB8B9B7"/>
        <bgColor indexed="64"/>
      </patternFill>
    </fill>
    <fill>
      <patternFill patternType="solid">
        <fgColor rgb="FF1C4E9D"/>
        <bgColor indexed="64"/>
      </patternFill>
    </fill>
    <fill>
      <patternFill patternType="solid">
        <fgColor rgb="FFF3652C"/>
        <bgColor indexed="64"/>
      </patternFill>
    </fill>
    <fill>
      <patternFill patternType="solid">
        <fgColor rgb="FF003A63"/>
        <bgColor indexed="64"/>
      </patternFill>
    </fill>
    <fill>
      <patternFill patternType="solid">
        <fgColor rgb="FF6B818D"/>
        <bgColor indexed="64"/>
      </patternFill>
    </fill>
    <fill>
      <patternFill patternType="solid">
        <fgColor rgb="FFEAAB00"/>
        <bgColor indexed="64"/>
      </patternFill>
    </fill>
    <fill>
      <patternFill patternType="solid">
        <fgColor rgb="FF86754D"/>
        <bgColor indexed="64"/>
      </patternFill>
    </fill>
    <fill>
      <patternFill patternType="solid">
        <fgColor rgb="FFF47920"/>
        <bgColor indexed="64"/>
      </patternFill>
    </fill>
    <fill>
      <patternFill patternType="solid">
        <fgColor rgb="FFF7941E"/>
        <bgColor indexed="64"/>
      </patternFill>
    </fill>
    <fill>
      <patternFill patternType="solid">
        <fgColor rgb="FFE84A27"/>
        <bgColor indexed="64"/>
      </patternFill>
    </fill>
    <fill>
      <patternFill patternType="solid">
        <fgColor rgb="FFFEDB00"/>
        <bgColor indexed="64"/>
      </patternFill>
    </fill>
    <fill>
      <patternFill patternType="solid">
        <fgColor rgb="FFCB333B"/>
        <bgColor indexed="64"/>
      </patternFill>
    </fill>
    <fill>
      <patternFill patternType="solid">
        <fgColor rgb="FFEEEDEB"/>
        <bgColor indexed="64"/>
      </patternFill>
    </fill>
    <fill>
      <patternFill patternType="solid">
        <fgColor rgb="FF000280"/>
        <bgColor indexed="64"/>
      </patternFill>
    </fill>
    <fill>
      <patternFill patternType="solid">
        <fgColor rgb="FF6F2C3F"/>
        <bgColor indexed="64"/>
      </patternFill>
    </fill>
    <fill>
      <patternFill patternType="solid">
        <fgColor rgb="FFF2A900"/>
        <bgColor indexed="64"/>
      </patternFill>
    </fill>
    <fill>
      <patternFill patternType="solid">
        <fgColor rgb="FFFFCD00"/>
        <bgColor indexed="64"/>
      </patternFill>
    </fill>
    <fill>
      <patternFill patternType="solid">
        <fgColor rgb="FFF1BE48"/>
        <bgColor indexed="64"/>
      </patternFill>
    </fill>
    <fill>
      <patternFill patternType="solid">
        <fgColor rgb="FFDFD1A7"/>
        <bgColor indexed="64"/>
      </patternFill>
    </fill>
    <fill>
      <patternFill patternType="solid">
        <fgColor rgb="FF008ED6"/>
        <bgColor indexed="64"/>
      </patternFill>
    </fill>
    <fill>
      <patternFill patternType="solid">
        <fgColor rgb="FF004E44"/>
        <bgColor indexed="64"/>
      </patternFill>
    </fill>
    <fill>
      <patternFill patternType="solid">
        <fgColor rgb="FF898A8D"/>
        <bgColor indexed="64"/>
      </patternFill>
    </fill>
    <fill>
      <patternFill patternType="solid">
        <fgColor rgb="FFBBBBBB"/>
        <bgColor indexed="64"/>
      </patternFill>
    </fill>
    <fill>
      <patternFill patternType="solid">
        <fgColor rgb="FFCB2027"/>
        <bgColor indexed="64"/>
      </patternFill>
    </fill>
    <fill>
      <patternFill patternType="solid">
        <fgColor rgb="FF450084"/>
        <bgColor indexed="64"/>
      </patternFill>
    </fill>
    <fill>
      <patternFill patternType="solid">
        <fgColor rgb="FF0051BA"/>
        <bgColor indexed="64"/>
      </patternFill>
    </fill>
    <fill>
      <patternFill patternType="solid">
        <fgColor rgb="FFE8000D"/>
        <bgColor indexed="64"/>
      </patternFill>
    </fill>
    <fill>
      <patternFill patternType="solid">
        <fgColor rgb="FFFFC82D"/>
        <bgColor indexed="64"/>
      </patternFill>
    </fill>
    <fill>
      <patternFill patternType="solid">
        <fgColor rgb="FF85898A"/>
        <bgColor indexed="64"/>
      </patternFill>
    </fill>
    <fill>
      <patternFill patternType="solid">
        <fgColor rgb="FF512888"/>
        <bgColor indexed="64"/>
      </patternFill>
    </fill>
    <fill>
      <patternFill patternType="solid">
        <fgColor rgb="FFD1D1D1"/>
        <bgColor indexed="64"/>
      </patternFill>
    </fill>
    <fill>
      <patternFill patternType="solid">
        <fgColor rgb="FFA7A7A7"/>
        <bgColor indexed="64"/>
      </patternFill>
    </fill>
    <fill>
      <patternFill patternType="solid">
        <fgColor rgb="FFFDBB30"/>
        <bgColor indexed="64"/>
      </patternFill>
    </fill>
    <fill>
      <patternFill patternType="solid">
        <fgColor rgb="FF0B1315"/>
        <bgColor indexed="64"/>
      </patternFill>
    </fill>
    <fill>
      <patternFill patternType="solid">
        <fgColor rgb="FF003976"/>
        <bgColor indexed="64"/>
      </patternFill>
    </fill>
    <fill>
      <patternFill patternType="solid">
        <fgColor rgb="FFEFAB00"/>
        <bgColor indexed="64"/>
      </patternFill>
    </fill>
    <fill>
      <patternFill patternType="solid">
        <fgColor rgb="FF000033"/>
        <bgColor indexed="64"/>
      </patternFill>
    </fill>
    <fill>
      <patternFill patternType="solid">
        <fgColor rgb="FF0099CC"/>
        <bgColor indexed="64"/>
      </patternFill>
    </fill>
    <fill>
      <patternFill patternType="solid">
        <fgColor rgb="FFDC0032"/>
        <bgColor indexed="64"/>
      </patternFill>
    </fill>
    <fill>
      <patternFill patternType="solid">
        <fgColor rgb="FFFCB034"/>
        <bgColor indexed="64"/>
      </patternFill>
    </fill>
    <fill>
      <patternFill patternType="solid">
        <fgColor rgb="FF653600"/>
        <bgColor indexed="64"/>
      </patternFill>
    </fill>
    <fill>
      <patternFill patternType="solid">
        <fgColor rgb="FFFFD24F"/>
        <bgColor indexed="64"/>
      </patternFill>
    </fill>
    <fill>
      <patternFill patternType="solid">
        <fgColor rgb="FF994708"/>
        <bgColor indexed="64"/>
      </patternFill>
    </fill>
    <fill>
      <patternFill patternType="solid">
        <fgColor rgb="FFCFAB7A"/>
        <bgColor indexed="64"/>
      </patternFill>
    </fill>
    <fill>
      <patternFill patternType="solid">
        <fgColor rgb="FF00703C"/>
        <bgColor indexed="64"/>
      </patternFill>
    </fill>
    <fill>
      <patternFill patternType="solid">
        <fgColor rgb="FFC6C8CA"/>
        <bgColor indexed="64"/>
      </patternFill>
    </fill>
    <fill>
      <patternFill patternType="solid">
        <fgColor rgb="FF331E54"/>
        <bgColor indexed="64"/>
      </patternFill>
    </fill>
    <fill>
      <patternFill patternType="solid">
        <fgColor rgb="FFF4AA00"/>
        <bgColor indexed="64"/>
      </patternFill>
    </fill>
    <fill>
      <patternFill patternType="solid">
        <fgColor rgb="FFFFC72A"/>
        <bgColor indexed="64"/>
      </patternFill>
    </fill>
    <fill>
      <patternFill patternType="solid">
        <fgColor rgb="FF69B3E7"/>
        <bgColor indexed="64"/>
      </patternFill>
    </fill>
    <fill>
      <patternFill patternType="solid">
        <fgColor rgb="FF15213B"/>
        <bgColor indexed="64"/>
      </patternFill>
    </fill>
    <fill>
      <patternFill patternType="solid">
        <fgColor rgb="FF999D9E"/>
        <bgColor indexed="64"/>
      </patternFill>
    </fill>
    <fill>
      <patternFill patternType="solid">
        <fgColor rgb="FF800029"/>
        <bgColor indexed="64"/>
      </patternFill>
    </fill>
    <fill>
      <patternFill patternType="solid">
        <fgColor rgb="FFBE955B"/>
        <bgColor indexed="64"/>
      </patternFill>
    </fill>
    <fill>
      <patternFill patternType="solid">
        <fgColor rgb="FF646569"/>
        <bgColor indexed="64"/>
      </patternFill>
    </fill>
    <fill>
      <patternFill patternType="solid">
        <fgColor rgb="FFDBD9D6"/>
        <bgColor indexed="64"/>
      </patternFill>
    </fill>
    <fill>
      <patternFill patternType="solid">
        <fgColor rgb="FFCE181E"/>
        <bgColor indexed="64"/>
      </patternFill>
    </fill>
    <fill>
      <patternFill patternType="solid">
        <fgColor rgb="FF0A0203"/>
        <bgColor indexed="64"/>
      </patternFill>
    </fill>
    <fill>
      <patternFill patternType="solid">
        <fgColor rgb="FFC1C5C9"/>
        <bgColor indexed="64"/>
      </patternFill>
    </fill>
    <fill>
      <patternFill patternType="solid">
        <fgColor rgb="FFF18C21"/>
        <bgColor indexed="64"/>
      </patternFill>
    </fill>
    <fill>
      <patternFill patternType="solid">
        <fgColor rgb="FF002F8B"/>
        <bgColor indexed="64"/>
      </patternFill>
    </fill>
    <fill>
      <patternFill patternType="solid">
        <fgColor rgb="FFE31B23"/>
        <bgColor indexed="64"/>
      </patternFill>
    </fill>
    <fill>
      <patternFill patternType="solid">
        <fgColor rgb="FF005A3C"/>
        <bgColor indexed="64"/>
      </patternFill>
    </fill>
    <fill>
      <patternFill patternType="solid">
        <fgColor rgb="FFD2D2D2"/>
        <bgColor indexed="64"/>
      </patternFill>
    </fill>
    <fill>
      <patternFill patternType="solid">
        <fgColor rgb="FFA4343A"/>
        <bgColor indexed="64"/>
      </patternFill>
    </fill>
    <fill>
      <patternFill patternType="solid">
        <fgColor rgb="FF63666A"/>
        <bgColor indexed="64"/>
      </patternFill>
    </fill>
    <fill>
      <patternFill patternType="solid">
        <fgColor rgb="FF461D7C"/>
        <bgColor indexed="64"/>
      </patternFill>
    </fill>
    <fill>
      <patternFill patternType="solid">
        <fgColor rgb="FFFDD023"/>
        <bgColor indexed="64"/>
      </patternFill>
    </fill>
    <fill>
      <patternFill patternType="solid">
        <fgColor rgb="FFFFD520"/>
        <bgColor indexed="64"/>
      </patternFill>
    </fill>
    <fill>
      <patternFill patternType="solid">
        <fgColor rgb="FFFFCB05"/>
        <bgColor indexed="64"/>
      </patternFill>
    </fill>
    <fill>
      <patternFill patternType="solid">
        <fgColor rgb="FF18453B"/>
        <bgColor indexed="64"/>
      </patternFill>
    </fill>
    <fill>
      <patternFill patternType="solid">
        <fgColor rgb="FF7A0019"/>
        <bgColor indexed="64"/>
      </patternFill>
    </fill>
    <fill>
      <patternFill patternType="solid">
        <fgColor rgb="FFE31937"/>
        <bgColor indexed="64"/>
      </patternFill>
    </fill>
    <fill>
      <patternFill patternType="solid">
        <fgColor rgb="FFFDF2D9"/>
        <bgColor indexed="64"/>
      </patternFill>
    </fill>
    <fill>
      <patternFill patternType="solid">
        <fgColor rgb="FF003263"/>
        <bgColor indexed="64"/>
      </patternFill>
    </fill>
    <fill>
      <patternFill patternType="solid">
        <fgColor rgb="FFB0D7FF"/>
        <bgColor indexed="64"/>
      </patternFill>
    </fill>
    <fill>
      <patternFill patternType="solid">
        <fgColor rgb="FFAB0634"/>
        <bgColor indexed="64"/>
      </patternFill>
    </fill>
    <fill>
      <patternFill patternType="solid">
        <fgColor rgb="FF908C89"/>
        <bgColor indexed="64"/>
      </patternFill>
    </fill>
    <fill>
      <patternFill patternType="solid">
        <fgColor rgb="FFB2B2B2"/>
        <bgColor indexed="64"/>
      </patternFill>
    </fill>
    <fill>
      <patternFill patternType="solid">
        <fgColor rgb="FFCDCC00"/>
        <bgColor indexed="64"/>
      </patternFill>
    </fill>
    <fill>
      <patternFill patternType="solid">
        <fgColor rgb="FF00B140"/>
        <bgColor indexed="64"/>
      </patternFill>
    </fill>
    <fill>
      <patternFill patternType="solid">
        <fgColor rgb="FF693F23"/>
        <bgColor indexed="64"/>
      </patternFill>
    </fill>
    <fill>
      <patternFill patternType="solid">
        <fgColor rgb="FFAD7C59"/>
        <bgColor indexed="64"/>
      </patternFill>
    </fill>
    <fill>
      <patternFill patternType="solid">
        <fgColor rgb="FF862633"/>
        <bgColor indexed="64"/>
      </patternFill>
    </fill>
    <fill>
      <patternFill patternType="solid">
        <fgColor rgb="FF888B8D"/>
        <bgColor indexed="64"/>
      </patternFill>
    </fill>
    <fill>
      <patternFill patternType="solid">
        <fgColor rgb="FF00529B"/>
        <bgColor indexed="64"/>
      </patternFill>
    </fill>
    <fill>
      <patternFill patternType="solid">
        <fgColor rgb="FF898D8D"/>
        <bgColor indexed="64"/>
      </patternFill>
    </fill>
    <fill>
      <patternFill patternType="solid">
        <fgColor rgb="FFF76800"/>
        <bgColor indexed="64"/>
      </patternFill>
    </fill>
    <fill>
      <patternFill patternType="solid">
        <fgColor rgb="FFF47321"/>
        <bgColor indexed="64"/>
      </patternFill>
    </fill>
    <fill>
      <patternFill patternType="solid">
        <fgColor rgb="FF005030"/>
        <bgColor indexed="64"/>
      </patternFill>
    </fill>
    <fill>
      <patternFill patternType="solid">
        <fgColor rgb="FFFFBC00"/>
        <bgColor indexed="64"/>
      </patternFill>
    </fill>
    <fill>
      <patternFill patternType="solid">
        <fgColor rgb="FF75787B"/>
        <bgColor indexed="64"/>
      </patternFill>
    </fill>
    <fill>
      <patternFill patternType="solid">
        <fgColor rgb="FFF1B82D"/>
        <bgColor indexed="64"/>
      </patternFill>
    </fill>
    <fill>
      <patternFill patternType="solid">
        <fgColor rgb="FF5E0009"/>
        <bgColor indexed="64"/>
      </patternFill>
    </fill>
    <fill>
      <patternFill patternType="solid">
        <fgColor rgb="FF53565A"/>
        <bgColor indexed="64"/>
      </patternFill>
    </fill>
    <fill>
      <patternFill patternType="solid">
        <fgColor rgb="FF861F41"/>
        <bgColor indexed="64"/>
      </patternFill>
    </fill>
    <fill>
      <patternFill patternType="solid">
        <fgColor rgb="FFFFCF00"/>
        <bgColor indexed="64"/>
      </patternFill>
    </fill>
    <fill>
      <patternFill patternType="solid">
        <fgColor rgb="FF1B4383"/>
        <bgColor indexed="64"/>
      </patternFill>
    </fill>
    <fill>
      <patternFill patternType="solid">
        <fgColor rgb="FFF47937"/>
        <bgColor indexed="64"/>
      </patternFill>
    </fill>
    <fill>
      <patternFill patternType="solid">
        <fgColor rgb="FFCDA177"/>
        <bgColor indexed="64"/>
      </patternFill>
    </fill>
    <fill>
      <patternFill patternType="solid">
        <fgColor rgb="FFFFBF3F"/>
        <bgColor indexed="64"/>
      </patternFill>
    </fill>
    <fill>
      <patternFill patternType="solid">
        <fgColor rgb="FFFF4500"/>
        <bgColor indexed="64"/>
      </patternFill>
    </fill>
    <fill>
      <patternFill patternType="solid">
        <fgColor rgb="FF002144"/>
        <bgColor indexed="64"/>
      </patternFill>
    </fill>
    <fill>
      <patternFill patternType="solid">
        <fgColor rgb="FF0A0A0A"/>
        <bgColor indexed="64"/>
      </patternFill>
    </fill>
    <fill>
      <patternFill patternType="solid">
        <fgColor rgb="FF002E62"/>
        <bgColor indexed="64"/>
      </patternFill>
    </fill>
    <fill>
      <patternFill patternType="solid">
        <fgColor rgb="FF807F84"/>
        <bgColor indexed="64"/>
      </patternFill>
    </fill>
    <fill>
      <patternFill patternType="solid">
        <fgColor rgb="FFBBBCBC"/>
        <bgColor indexed="64"/>
      </patternFill>
    </fill>
    <fill>
      <patternFill patternType="solid">
        <fgColor rgb="FF008995"/>
        <bgColor indexed="64"/>
      </patternFill>
    </fill>
    <fill>
      <patternFill patternType="solid">
        <fgColor rgb="FF97999B"/>
        <bgColor indexed="64"/>
      </patternFill>
    </fill>
    <fill>
      <patternFill patternType="solid">
        <fgColor rgb="FF0054A6"/>
        <bgColor indexed="64"/>
      </patternFill>
    </fill>
    <fill>
      <patternFill patternType="solid">
        <fgColor rgb="FFA4A9AD"/>
        <bgColor indexed="64"/>
      </patternFill>
    </fill>
    <fill>
      <patternFill patternType="solid">
        <fgColor rgb="FFAE132A"/>
        <bgColor indexed="64"/>
      </patternFill>
    </fill>
    <fill>
      <patternFill patternType="solid">
        <fgColor rgb="FF72808A"/>
        <bgColor indexed="64"/>
      </patternFill>
    </fill>
    <fill>
      <patternFill patternType="solid">
        <fgColor rgb="FF007A53"/>
        <bgColor indexed="64"/>
      </patternFill>
    </fill>
    <fill>
      <patternFill patternType="solid">
        <fgColor rgb="FFF3D03E"/>
        <bgColor indexed="64"/>
      </patternFill>
    </fill>
    <fill>
      <patternFill patternType="solid">
        <fgColor rgb="FF54585A"/>
        <bgColor indexed="64"/>
      </patternFill>
    </fill>
    <fill>
      <patternFill patternType="solid">
        <fgColor rgb="FFDB9F11"/>
        <bgColor indexed="64"/>
      </patternFill>
    </fill>
    <fill>
      <patternFill patternType="solid">
        <fgColor rgb="FF5F6062"/>
        <bgColor indexed="64"/>
      </patternFill>
    </fill>
    <fill>
      <patternFill patternType="solid">
        <fgColor rgb="FFF3B237"/>
        <bgColor indexed="64"/>
      </patternFill>
    </fill>
    <fill>
      <patternFill patternType="solid">
        <fgColor rgb="FF003D6D"/>
        <bgColor indexed="64"/>
      </patternFill>
    </fill>
    <fill>
      <patternFill patternType="solid">
        <fgColor rgb="FF880023"/>
        <bgColor indexed="64"/>
      </patternFill>
    </fill>
    <fill>
      <patternFill patternType="solid">
        <fgColor rgb="FF8E9093"/>
        <bgColor indexed="64"/>
      </patternFill>
    </fill>
    <fill>
      <patternFill patternType="solid">
        <fgColor rgb="FF7BAFD4"/>
        <bgColor indexed="64"/>
      </patternFill>
    </fill>
    <fill>
      <patternFill patternType="solid">
        <fgColor rgb="FF2C2A29"/>
        <bgColor indexed="64"/>
      </patternFill>
    </fill>
    <fill>
      <patternFill patternType="solid">
        <fgColor rgb="FF8D9092"/>
        <bgColor indexed="64"/>
      </patternFill>
    </fill>
    <fill>
      <patternFill patternType="solid">
        <fgColor rgb="FF009A44"/>
        <bgColor indexed="64"/>
      </patternFill>
    </fill>
    <fill>
      <patternFill patternType="solid">
        <fgColor rgb="FFABAEAE"/>
        <bgColor indexed="64"/>
      </patternFill>
    </fill>
    <fill>
      <patternFill patternType="solid">
        <fgColor rgb="FF031B49"/>
        <bgColor indexed="64"/>
      </patternFill>
    </fill>
    <fill>
      <patternFill patternType="solid">
        <fgColor rgb="FFBABCBE"/>
        <bgColor indexed="64"/>
      </patternFill>
    </fill>
    <fill>
      <patternFill patternType="solid">
        <fgColor rgb="FF059033"/>
        <bgColor indexed="64"/>
      </patternFill>
    </fill>
    <fill>
      <patternFill patternType="solid">
        <fgColor rgb="FFD41B2C"/>
        <bgColor indexed="64"/>
      </patternFill>
    </fill>
    <fill>
      <patternFill patternType="solid">
        <fgColor rgb="FFFBB040"/>
        <bgColor indexed="64"/>
      </patternFill>
    </fill>
    <fill>
      <patternFill patternType="solid">
        <fgColor rgb="FF012D5B"/>
        <bgColor indexed="64"/>
      </patternFill>
    </fill>
    <fill>
      <patternFill patternType="solid">
        <fgColor rgb="FFFEBD36"/>
        <bgColor indexed="64"/>
      </patternFill>
    </fill>
    <fill>
      <patternFill patternType="solid">
        <fgColor rgb="FF4B116F"/>
        <bgColor indexed="64"/>
      </patternFill>
    </fill>
    <fill>
      <patternFill patternType="solid">
        <fgColor rgb="FF4F2D8B"/>
        <bgColor indexed="64"/>
      </patternFill>
    </fill>
    <fill>
      <patternFill patternType="solid">
        <fgColor rgb="FFFF6418"/>
        <bgColor indexed="64"/>
      </patternFill>
    </fill>
    <fill>
      <patternFill patternType="solid">
        <fgColor rgb="FF4E2A84"/>
        <bgColor indexed="64"/>
      </patternFill>
    </fill>
    <fill>
      <patternFill patternType="solid">
        <fgColor rgb="FFAE8F40"/>
        <bgColor indexed="64"/>
      </patternFill>
    </fill>
    <fill>
      <patternFill patternType="solid">
        <fgColor rgb="FF0A863D"/>
        <bgColor indexed="64"/>
      </patternFill>
    </fill>
    <fill>
      <patternFill patternType="solid">
        <fgColor rgb="FFCC092F"/>
        <bgColor indexed="64"/>
      </patternFill>
    </fill>
    <fill>
      <patternFill patternType="solid">
        <fgColor rgb="FF162B48"/>
        <bgColor indexed="64"/>
      </patternFill>
    </fill>
    <fill>
      <patternFill patternType="solid">
        <fgColor rgb="FF006BA6"/>
        <bgColor indexed="64"/>
      </patternFill>
    </fill>
    <fill>
      <patternFill patternType="solid">
        <fgColor rgb="FFD71920"/>
        <bgColor indexed="64"/>
      </patternFill>
    </fill>
    <fill>
      <patternFill patternType="solid">
        <fgColor rgb="FF636568"/>
        <bgColor indexed="64"/>
      </patternFill>
    </fill>
    <fill>
      <patternFill patternType="solid">
        <fgColor rgb="FF006848"/>
        <bgColor indexed="64"/>
      </patternFill>
    </fill>
    <fill>
      <patternFill patternType="solid">
        <fgColor rgb="FFBB0000"/>
        <bgColor indexed="64"/>
      </patternFill>
    </fill>
    <fill>
      <patternFill patternType="solid">
        <fgColor rgb="FF841719"/>
        <bgColor indexed="64"/>
      </patternFill>
    </fill>
    <fill>
      <patternFill patternType="solid">
        <fgColor rgb="FFFDF9D8"/>
        <bgColor indexed="64"/>
      </patternFill>
    </fill>
    <fill>
      <patternFill patternType="solid">
        <fgColor rgb="FFFF7C19"/>
        <bgColor indexed="64"/>
      </patternFill>
    </fill>
    <fill>
      <patternFill patternType="solid">
        <fgColor rgb="FFBEBEBE"/>
        <bgColor indexed="64"/>
      </patternFill>
    </fill>
    <fill>
      <patternFill patternType="solid">
        <fgColor rgb="FF92C1E9"/>
        <bgColor indexed="64"/>
      </patternFill>
    </fill>
    <fill>
      <patternFill patternType="solid">
        <fgColor rgb="FF042F60"/>
        <bgColor indexed="64"/>
      </patternFill>
    </fill>
    <fill>
      <patternFill patternType="solid">
        <fgColor rgb="FFA28E2A"/>
        <bgColor indexed="64"/>
      </patternFill>
    </fill>
    <fill>
      <patternFill patternType="solid">
        <fgColor rgb="FF124734"/>
        <bgColor indexed="64"/>
      </patternFill>
    </fill>
    <fill>
      <patternFill patternType="solid">
        <fgColor rgb="FFFEE123"/>
        <bgColor indexed="64"/>
      </patternFill>
    </fill>
    <fill>
      <patternFill patternType="solid">
        <fgColor rgb="FFDC4405"/>
        <bgColor indexed="64"/>
      </patternFill>
    </fill>
    <fill>
      <patternFill patternType="solid">
        <fgColor rgb="FFE35205"/>
        <bgColor indexed="64"/>
      </patternFill>
    </fill>
    <fill>
      <patternFill patternType="solid">
        <fgColor rgb="FFD86018"/>
        <bgColor indexed="64"/>
      </patternFill>
    </fill>
    <fill>
      <patternFill patternType="solid">
        <fgColor rgb="FF949A90"/>
        <bgColor indexed="64"/>
      </patternFill>
    </fill>
    <fill>
      <patternFill patternType="solid">
        <fgColor rgb="FF011F5B"/>
        <bgColor indexed="64"/>
      </patternFill>
    </fill>
    <fill>
      <patternFill patternType="solid">
        <fgColor rgb="FF1E1656"/>
        <bgColor indexed="64"/>
      </patternFill>
    </fill>
    <fill>
      <patternFill patternType="solid">
        <fgColor rgb="FF5E6A71"/>
        <bgColor indexed="64"/>
      </patternFill>
    </fill>
    <fill>
      <patternFill patternType="solid">
        <fgColor rgb="FF154734"/>
        <bgColor indexed="64"/>
      </patternFill>
    </fill>
    <fill>
      <patternFill patternType="solid">
        <fgColor rgb="FFD6D6D1"/>
        <bgColor indexed="64"/>
      </patternFill>
    </fill>
    <fill>
      <patternFill patternType="solid">
        <fgColor rgb="FF373A36"/>
        <bgColor indexed="64"/>
      </patternFill>
    </fill>
    <fill>
      <patternFill patternType="solid">
        <fgColor rgb="FF502D7F"/>
        <bgColor indexed="64"/>
      </patternFill>
    </fill>
    <fill>
      <patternFill patternType="solid">
        <fgColor rgb="FF9A2235"/>
        <bgColor indexed="64"/>
      </patternFill>
    </fill>
    <fill>
      <patternFill patternType="solid">
        <fgColor rgb="FF9D968D"/>
        <bgColor indexed="64"/>
      </patternFill>
    </fill>
    <fill>
      <patternFill patternType="solid">
        <fgColor rgb="FFC28E0C"/>
        <bgColor indexed="64"/>
      </patternFill>
    </fill>
    <fill>
      <patternFill patternType="solid">
        <fgColor rgb="FFC2011B"/>
        <bgColor indexed="64"/>
      </patternFill>
    </fill>
    <fill>
      <patternFill patternType="solid">
        <fgColor rgb="FFD1D3D4"/>
        <bgColor indexed="64"/>
      </patternFill>
    </fill>
    <fill>
      <patternFill patternType="solid">
        <fgColor rgb="FF003C71"/>
        <bgColor indexed="64"/>
      </patternFill>
    </fill>
    <fill>
      <patternFill patternType="solid">
        <fgColor rgb="FF68ABE8"/>
        <bgColor indexed="64"/>
      </patternFill>
    </fill>
    <fill>
      <patternFill patternType="solid">
        <fgColor rgb="FF002147"/>
        <bgColor indexed="64"/>
      </patternFill>
    </fill>
    <fill>
      <patternFill patternType="solid">
        <fgColor rgb="FF000066"/>
        <bgColor indexed="64"/>
      </patternFill>
    </fill>
    <fill>
      <patternFill patternType="solid">
        <fgColor rgb="FF981E32"/>
        <bgColor indexed="64"/>
      </patternFill>
    </fill>
    <fill>
      <patternFill patternType="solid">
        <fgColor rgb="FF6C6F70"/>
        <bgColor indexed="64"/>
      </patternFill>
    </fill>
    <fill>
      <patternFill patternType="solid">
        <fgColor rgb="FF14234B"/>
        <bgColor indexed="64"/>
      </patternFill>
    </fill>
    <fill>
      <patternFill patternType="solid">
        <fgColor rgb="FFB2B190"/>
        <bgColor indexed="64"/>
      </patternFill>
    </fill>
    <fill>
      <patternFill patternType="solid">
        <fgColor rgb="FF5F6A72"/>
        <bgColor indexed="64"/>
      </patternFill>
    </fill>
    <fill>
      <patternFill patternType="solid">
        <fgColor rgb="FFFF671F"/>
        <bgColor indexed="64"/>
      </patternFill>
    </fill>
    <fill>
      <patternFill patternType="solid">
        <fgColor rgb="FF004E38"/>
        <bgColor indexed="64"/>
      </patternFill>
    </fill>
    <fill>
      <patternFill patternType="solid">
        <fgColor rgb="FFC4B681"/>
        <bgColor indexed="64"/>
      </patternFill>
    </fill>
    <fill>
      <patternFill patternType="solid">
        <fgColor rgb="FFB1B3B6"/>
        <bgColor indexed="64"/>
      </patternFill>
    </fill>
    <fill>
      <patternFill patternType="solid">
        <fgColor rgb="FF4D4D4F"/>
        <bgColor indexed="64"/>
      </patternFill>
    </fill>
    <fill>
      <patternFill patternType="solid">
        <fgColor rgb="FFCD001B"/>
        <bgColor indexed="64"/>
      </patternFill>
    </fill>
    <fill>
      <patternFill patternType="solid">
        <fgColor rgb="FFFE5100"/>
        <bgColor indexed="64"/>
      </patternFill>
    </fill>
    <fill>
      <patternFill patternType="solid">
        <fgColor rgb="FF002649"/>
        <bgColor indexed="64"/>
      </patternFill>
    </fill>
    <fill>
      <patternFill patternType="solid">
        <fgColor rgb="FFC4161D"/>
        <bgColor indexed="64"/>
      </patternFill>
    </fill>
    <fill>
      <patternFill patternType="solid">
        <fgColor rgb="FF0E3E7C"/>
        <bgColor indexed="64"/>
      </patternFill>
    </fill>
    <fill>
      <patternFill patternType="solid">
        <fgColor rgb="FF84BCE8"/>
        <bgColor indexed="64"/>
      </patternFill>
    </fill>
    <fill>
      <patternFill patternType="solid">
        <fgColor rgb="FF207BC1"/>
        <bgColor indexed="64"/>
      </patternFill>
    </fill>
    <fill>
      <patternFill patternType="solid">
        <fgColor rgb="FF00543C"/>
        <bgColor indexed="64"/>
      </patternFill>
    </fill>
    <fill>
      <patternFill patternType="solid">
        <fgColor rgb="FF919194"/>
        <bgColor indexed="64"/>
      </patternFill>
    </fill>
    <fill>
      <patternFill patternType="solid">
        <fgColor rgb="FF0055A2"/>
        <bgColor indexed="64"/>
      </patternFill>
    </fill>
    <fill>
      <patternFill patternType="solid">
        <fgColor rgb="FFE5A823"/>
        <bgColor indexed="64"/>
      </patternFill>
    </fill>
    <fill>
      <patternFill patternType="solid">
        <fgColor rgb="FF939597"/>
        <bgColor indexed="64"/>
      </patternFill>
    </fill>
    <fill>
      <patternFill patternType="solid">
        <fgColor rgb="FF9EA2A3"/>
        <bgColor indexed="64"/>
      </patternFill>
    </fill>
    <fill>
      <patternFill patternType="solid">
        <fgColor rgb="FFEF3829"/>
        <bgColor indexed="64"/>
      </patternFill>
    </fill>
    <fill>
      <patternFill patternType="solid">
        <fgColor rgb="FFCFAA7A"/>
        <bgColor indexed="64"/>
      </patternFill>
    </fill>
    <fill>
      <patternFill patternType="solid">
        <fgColor rgb="FFA68462"/>
        <bgColor indexed="64"/>
      </patternFill>
    </fill>
    <fill>
      <patternFill patternType="solid">
        <fgColor rgb="FF896532"/>
        <bgColor indexed="64"/>
      </patternFill>
    </fill>
    <fill>
      <patternFill patternType="solid">
        <fgColor rgb="FF5A471C"/>
        <bgColor indexed="64"/>
      </patternFill>
    </fill>
    <fill>
      <patternFill patternType="solid">
        <fgColor rgb="FF001A72"/>
        <bgColor indexed="64"/>
      </patternFill>
    </fill>
    <fill>
      <patternFill patternType="solid">
        <fgColor rgb="FFB4B4B4"/>
        <bgColor indexed="64"/>
      </patternFill>
    </fill>
    <fill>
      <patternFill patternType="solid">
        <fgColor rgb="FFFFD100"/>
        <bgColor indexed="64"/>
      </patternFill>
    </fill>
    <fill>
      <patternFill patternType="solid">
        <fgColor rgb="FFCFC493"/>
        <bgColor indexed="64"/>
      </patternFill>
    </fill>
    <fill>
      <patternFill patternType="solid">
        <fgColor rgb="FF006341"/>
        <bgColor indexed="64"/>
      </patternFill>
    </fill>
    <fill>
      <patternFill patternType="solid">
        <fgColor rgb="FFEAAA00"/>
        <bgColor indexed="64"/>
      </patternFill>
    </fill>
    <fill>
      <patternFill patternType="solid">
        <fgColor rgb="FF720000"/>
        <bgColor indexed="64"/>
      </patternFill>
    </fill>
    <fill>
      <patternFill patternType="solid">
        <fgColor rgb="FF354CA1"/>
        <bgColor indexed="64"/>
      </patternFill>
    </fill>
    <fill>
      <patternFill patternType="solid">
        <fgColor rgb="FFFFAB00"/>
        <bgColor indexed="64"/>
      </patternFill>
    </fill>
    <fill>
      <patternFill patternType="solid">
        <fgColor rgb="FF58B6E7"/>
        <bgColor indexed="64"/>
      </patternFill>
    </fill>
    <fill>
      <patternFill patternType="solid">
        <fgColor rgb="FFFFCE34"/>
        <bgColor indexed="64"/>
      </patternFill>
    </fill>
    <fill>
      <patternFill patternType="solid">
        <fgColor rgb="FFC41425"/>
        <bgColor indexed="64"/>
      </patternFill>
    </fill>
    <fill>
      <patternFill patternType="solid">
        <fgColor rgb="FF54261A"/>
        <bgColor indexed="64"/>
      </patternFill>
    </fill>
    <fill>
      <patternFill patternType="solid">
        <fgColor rgb="FFFFC726"/>
        <bgColor indexed="64"/>
      </patternFill>
    </fill>
    <fill>
      <patternFill patternType="solid">
        <fgColor rgb="FFBDB6B0"/>
        <bgColor indexed="64"/>
      </patternFill>
    </fill>
    <fill>
      <patternFill patternType="solid">
        <fgColor rgb="FF005496"/>
        <bgColor indexed="64"/>
      </patternFill>
    </fill>
    <fill>
      <patternFill patternType="solid">
        <fgColor rgb="FFBD1F25"/>
        <bgColor indexed="64"/>
      </patternFill>
    </fill>
    <fill>
      <patternFill patternType="solid">
        <fgColor rgb="FF790000"/>
        <bgColor indexed="64"/>
      </patternFill>
    </fill>
    <fill>
      <patternFill patternType="solid">
        <fgColor rgb="FF8E908F"/>
        <bgColor indexed="64"/>
      </patternFill>
    </fill>
    <fill>
      <patternFill patternType="solid">
        <fgColor rgb="FF8C1515"/>
        <bgColor indexed="64"/>
      </patternFill>
    </fill>
    <fill>
      <patternFill patternType="solid">
        <fgColor rgb="FF4D4F53"/>
        <bgColor indexed="64"/>
      </patternFill>
    </fill>
    <fill>
      <patternFill patternType="solid">
        <fgColor rgb="FF2E2D29"/>
        <bgColor indexed="64"/>
      </patternFill>
    </fill>
    <fill>
      <patternFill patternType="solid">
        <fgColor rgb="FF007662"/>
        <bgColor indexed="64"/>
      </patternFill>
    </fill>
    <fill>
      <patternFill patternType="solid">
        <fgColor rgb="FF613393"/>
        <bgColor indexed="64"/>
      </patternFill>
    </fill>
    <fill>
      <patternFill patternType="solid">
        <fgColor rgb="FF84754E"/>
        <bgColor indexed="64"/>
      </patternFill>
    </fill>
    <fill>
      <patternFill patternType="solid">
        <fgColor rgb="FF003DA5"/>
        <bgColor indexed="64"/>
      </patternFill>
    </fill>
    <fill>
      <patternFill patternType="solid">
        <fgColor rgb="FFC8C9C7"/>
        <bgColor indexed="64"/>
      </patternFill>
    </fill>
    <fill>
      <patternFill patternType="solid">
        <fgColor rgb="FF041C2C"/>
        <bgColor indexed="64"/>
      </patternFill>
    </fill>
    <fill>
      <patternFill patternType="solid">
        <fgColor rgb="FFA11F35"/>
        <bgColor indexed="64"/>
      </patternFill>
    </fill>
    <fill>
      <patternFill patternType="solid">
        <fgColor rgb="FF53565B"/>
        <bgColor indexed="64"/>
      </patternFill>
    </fill>
    <fill>
      <patternFill patternType="solid">
        <fgColor rgb="FF0072CE"/>
        <bgColor indexed="64"/>
      </patternFill>
    </fill>
    <fill>
      <patternFill patternType="solid">
        <fgColor rgb="FFA59C94"/>
        <bgColor indexed="64"/>
      </patternFill>
    </fill>
    <fill>
      <patternFill patternType="solid">
        <fgColor rgb="FFB58150"/>
        <bgColor indexed="64"/>
      </patternFill>
    </fill>
    <fill>
      <patternFill patternType="solid">
        <fgColor rgb="FF9E652E"/>
        <bgColor indexed="64"/>
      </patternFill>
    </fill>
    <fill>
      <patternFill patternType="solid">
        <fgColor rgb="FF16243E"/>
        <bgColor indexed="64"/>
      </patternFill>
    </fill>
    <fill>
      <patternFill patternType="solid">
        <fgColor rgb="FFD44500"/>
        <bgColor indexed="64"/>
      </patternFill>
    </fill>
    <fill>
      <patternFill patternType="solid">
        <fgColor rgb="FF3E3D3C"/>
        <bgColor indexed="64"/>
      </patternFill>
    </fill>
    <fill>
      <patternFill patternType="solid">
        <fgColor rgb="FF6F777D"/>
        <bgColor indexed="64"/>
      </patternFill>
    </fill>
    <fill>
      <patternFill patternType="solid">
        <fgColor rgb="FFADB3B8"/>
        <bgColor indexed="64"/>
      </patternFill>
    </fill>
    <fill>
      <patternFill patternType="solid">
        <fgColor rgb="FFE8EAEB"/>
        <bgColor indexed="64"/>
      </patternFill>
    </fill>
    <fill>
      <patternFill patternType="solid">
        <fgColor rgb="FF4D1979"/>
        <bgColor indexed="64"/>
      </patternFill>
    </fill>
    <fill>
      <patternFill patternType="solid">
        <fgColor rgb="FFA4BDAD"/>
        <bgColor indexed="64"/>
      </patternFill>
    </fill>
    <fill>
      <patternFill patternType="solid">
        <fgColor rgb="FF4F2984"/>
        <bgColor indexed="64"/>
      </patternFill>
    </fill>
    <fill>
      <patternFill patternType="solid">
        <fgColor rgb="FF500000"/>
        <bgColor indexed="64"/>
      </patternFill>
    </fill>
    <fill>
      <patternFill patternType="solid">
        <fgColor rgb="FF0067C5"/>
        <bgColor indexed="64"/>
      </patternFill>
    </fill>
    <fill>
      <patternFill patternType="solid">
        <fgColor rgb="FF007F3E"/>
        <bgColor indexed="64"/>
      </patternFill>
    </fill>
    <fill>
      <patternFill patternType="solid">
        <fgColor rgb="FF9EA2A4"/>
        <bgColor indexed="64"/>
      </patternFill>
    </fill>
    <fill>
      <patternFill patternType="solid">
        <fgColor rgb="FF002E57"/>
        <bgColor indexed="64"/>
      </patternFill>
    </fill>
    <fill>
      <patternFill patternType="solid">
        <fgColor rgb="FFBF5700"/>
        <bgColor indexed="64"/>
      </patternFill>
    </fill>
    <fill>
      <patternFill patternType="solid">
        <fgColor rgb="FF333F48"/>
        <bgColor indexed="64"/>
      </patternFill>
    </fill>
    <fill>
      <patternFill patternType="solid">
        <fgColor rgb="FF7C183E"/>
        <bgColor indexed="64"/>
      </patternFill>
    </fill>
    <fill>
      <patternFill patternType="solid">
        <fgColor rgb="FF9DA6AB"/>
        <bgColor indexed="64"/>
      </patternFill>
    </fill>
    <fill>
      <patternFill patternType="solid">
        <fgColor rgb="FF501214"/>
        <bgColor indexed="64"/>
      </patternFill>
    </fill>
    <fill>
      <patternFill patternType="solid">
        <fgColor rgb="FF8D734A"/>
        <bgColor indexed="64"/>
      </patternFill>
    </fill>
    <fill>
      <patternFill patternType="solid">
        <fgColor rgb="FFF58026"/>
        <bgColor indexed="64"/>
      </patternFill>
    </fill>
    <fill>
      <patternFill patternType="solid">
        <fgColor rgb="FF0064B1"/>
        <bgColor indexed="64"/>
      </patternFill>
    </fill>
    <fill>
      <patternFill patternType="solid">
        <fgColor rgb="FF15397F"/>
        <bgColor indexed="64"/>
      </patternFill>
    </fill>
    <fill>
      <patternFill patternType="solid">
        <fgColor rgb="FF005CB9"/>
        <bgColor indexed="64"/>
      </patternFill>
    </fill>
    <fill>
      <patternFill patternType="solid">
        <fgColor rgb="FFFFDA00"/>
        <bgColor indexed="64"/>
      </patternFill>
    </fill>
    <fill>
      <patternFill patternType="solid">
        <fgColor rgb="FFBEC3C3"/>
        <bgColor indexed="64"/>
      </patternFill>
    </fill>
    <fill>
      <patternFill patternType="solid">
        <fgColor rgb="FFFFBB00"/>
        <bgColor indexed="64"/>
      </patternFill>
    </fill>
    <fill>
      <patternFill patternType="solid">
        <fgColor rgb="FF3C3C3C"/>
        <bgColor indexed="64"/>
      </patternFill>
    </fill>
    <fill>
      <patternFill patternType="solid">
        <fgColor rgb="FF8A2432"/>
        <bgColor indexed="64"/>
      </patternFill>
    </fill>
    <fill>
      <patternFill patternType="solid">
        <fgColor rgb="FF43B02A"/>
        <bgColor indexed="64"/>
      </patternFill>
    </fill>
    <fill>
      <patternFill patternType="solid">
        <fgColor rgb="FF418FDE"/>
        <bgColor indexed="64"/>
      </patternFill>
    </fill>
    <fill>
      <patternFill patternType="solid">
        <fgColor rgb="FFF3D54E"/>
        <bgColor indexed="64"/>
      </patternFill>
    </fill>
    <fill>
      <patternFill patternType="solid">
        <fgColor rgb="FFA71F23"/>
        <bgColor indexed="64"/>
      </patternFill>
    </fill>
    <fill>
      <patternFill patternType="solid">
        <fgColor rgb="FFFFD61B"/>
        <bgColor indexed="64"/>
      </patternFill>
    </fill>
    <fill>
      <patternFill patternType="solid">
        <fgColor rgb="FF666766"/>
        <bgColor indexed="64"/>
      </patternFill>
    </fill>
    <fill>
      <patternFill patternType="solid">
        <fgColor rgb="FF630031"/>
        <bgColor indexed="64"/>
      </patternFill>
    </fill>
    <fill>
      <patternFill patternType="solid">
        <fgColor rgb="FFCF4520"/>
        <bgColor indexed="64"/>
      </patternFill>
    </fill>
    <fill>
      <patternFill patternType="solid">
        <fgColor rgb="FF00483A"/>
        <bgColor indexed="64"/>
      </patternFill>
    </fill>
    <fill>
      <patternFill patternType="solid">
        <fgColor rgb="FFB9BBBD"/>
        <bgColor indexed="64"/>
      </patternFill>
    </fill>
    <fill>
      <patternFill patternType="solid">
        <fgColor rgb="FF9E7E38"/>
        <bgColor indexed="64"/>
      </patternFill>
    </fill>
    <fill>
      <patternFill patternType="solid">
        <fgColor rgb="FF33006F"/>
        <bgColor indexed="64"/>
      </patternFill>
    </fill>
    <fill>
      <patternFill patternType="solid">
        <fgColor rgb="FFE8D3A2"/>
        <bgColor indexed="64"/>
      </patternFill>
    </fill>
    <fill>
      <patternFill patternType="solid">
        <fgColor rgb="FF917B4C"/>
        <bgColor indexed="64"/>
      </patternFill>
    </fill>
    <fill>
      <patternFill patternType="solid">
        <fgColor rgb="FF4B2682"/>
        <bgColor indexed="64"/>
      </patternFill>
    </fill>
    <fill>
      <patternFill patternType="solid">
        <fgColor rgb="FFA1A1A4"/>
        <bgColor indexed="64"/>
      </patternFill>
    </fill>
    <fill>
      <patternFill patternType="solid">
        <fgColor rgb="FF130C0E"/>
        <bgColor indexed="64"/>
      </patternFill>
    </fill>
    <fill>
      <patternFill patternType="solid">
        <fgColor rgb="FF592C88"/>
        <bgColor indexed="64"/>
      </patternFill>
    </fill>
    <fill>
      <patternFill patternType="solid">
        <fgColor rgb="FFC1A875"/>
        <bgColor indexed="64"/>
      </patternFill>
    </fill>
    <fill>
      <patternFill patternType="solid">
        <fgColor rgb="FF500778"/>
        <bgColor indexed="64"/>
      </patternFill>
    </fill>
    <fill>
      <patternFill patternType="solid">
        <fgColor rgb="FF1E1E1E"/>
        <bgColor indexed="64"/>
      </patternFill>
    </fill>
    <fill>
      <patternFill patternType="solid">
        <fgColor rgb="FF6C4023"/>
        <bgColor indexed="64"/>
      </patternFill>
    </fill>
    <fill>
      <patternFill patternType="solid">
        <fgColor rgb="FFB5A268"/>
        <bgColor indexed="64"/>
      </patternFill>
    </fill>
    <fill>
      <patternFill patternType="solid">
        <fgColor rgb="FFA9A8A9"/>
        <bgColor indexed="64"/>
      </patternFill>
    </fill>
    <fill>
      <patternFill patternType="solid">
        <fgColor rgb="FF115740"/>
        <bgColor indexed="64"/>
      </patternFill>
    </fill>
    <fill>
      <patternFill patternType="solid">
        <fgColor rgb="FFF0B323"/>
        <bgColor indexed="64"/>
      </patternFill>
    </fill>
    <fill>
      <patternFill patternType="solid">
        <fgColor rgb="FFAC1E2D"/>
        <bgColor indexed="64"/>
      </patternFill>
    </fill>
    <fill>
      <patternFill patternType="solid">
        <fgColor rgb="FFFACC09"/>
        <bgColor indexed="64"/>
      </patternFill>
    </fill>
    <fill>
      <patternFill patternType="solid">
        <fgColor rgb="FF971B2F"/>
        <bgColor indexed="64"/>
      </patternFill>
    </fill>
    <fill>
      <patternFill patternType="solid">
        <fgColor rgb="FF572932"/>
        <bgColor indexed="64"/>
      </patternFill>
    </fill>
    <fill>
      <patternFill patternType="solid">
        <fgColor rgb="FFC7C8CA"/>
        <bgColor indexed="64"/>
      </patternFill>
    </fill>
    <fill>
      <patternFill patternType="solid">
        <fgColor rgb="FF007073"/>
        <bgColor indexed="64"/>
      </patternFill>
    </fill>
    <fill>
      <patternFill patternType="solid">
        <fgColor rgb="FFF79728"/>
        <bgColor indexed="64"/>
      </patternFill>
    </fill>
    <fill>
      <patternFill patternType="solid">
        <fgColor rgb="FF002A5B"/>
        <bgColor indexed="64"/>
      </patternFill>
    </fill>
    <fill>
      <patternFill patternType="solid">
        <fgColor rgb="FFFFA300"/>
        <bgColor indexed="64"/>
      </patternFill>
    </fill>
    <fill>
      <patternFill patternType="solid">
        <fgColor rgb="FFF05023"/>
        <bgColor indexed="64"/>
      </patternFill>
    </fill>
    <fill>
      <patternFill patternType="solid">
        <fgColor rgb="FF00843D"/>
        <bgColor indexed="64"/>
      </patternFill>
    </fill>
    <fill>
      <patternFill patternType="solid">
        <fgColor rgb="FFF15A22"/>
        <bgColor indexed="64"/>
      </patternFill>
    </fill>
    <fill>
      <patternFill patternType="solid">
        <fgColor rgb="FFCC8A00"/>
        <bgColor indexed="64"/>
      </patternFill>
    </fill>
    <fill>
      <patternFill patternType="solid">
        <fgColor rgb="FF2D6CC0"/>
        <bgColor indexed="64"/>
      </patternFill>
    </fill>
    <fill>
      <patternFill patternType="solid">
        <fgColor rgb="FF003066"/>
        <bgColor indexed="64"/>
      </patternFill>
    </fill>
    <fill>
      <patternFill patternType="solid">
        <fgColor rgb="FFF1AB00"/>
        <bgColor indexed="64"/>
      </patternFill>
    </fill>
    <fill>
      <patternFill patternType="solid">
        <fgColor rgb="FF7A6E67"/>
        <bgColor indexed="64"/>
      </patternFill>
    </fill>
    <fill>
      <patternFill patternType="solid">
        <fgColor rgb="FF003660"/>
        <bgColor indexed="64"/>
      </patternFill>
    </fill>
    <fill>
      <patternFill patternType="solid">
        <fgColor rgb="FFFEBC11"/>
        <bgColor indexed="64"/>
      </patternFill>
    </fill>
    <fill>
      <patternFill patternType="solid">
        <fgColor rgb="FFFFCA06"/>
        <bgColor indexed="64"/>
      </patternFill>
    </fill>
    <fill>
      <patternFill patternType="solid">
        <fgColor rgb="FFBA9B37"/>
        <bgColor indexed="64"/>
      </patternFill>
    </fill>
    <fill>
      <patternFill patternType="solid">
        <fgColor rgb="FF2D6860"/>
        <bgColor indexed="64"/>
      </patternFill>
    </fill>
    <fill>
      <patternFill patternType="solid">
        <fgColor rgb="FFB18906"/>
        <bgColor indexed="64"/>
      </patternFill>
    </fill>
    <fill>
      <patternFill patternType="solid">
        <fgColor rgb="FFED1C24"/>
        <bgColor indexed="64"/>
      </patternFill>
    </fill>
    <fill>
      <patternFill patternType="solid">
        <fgColor rgb="FFFECB00"/>
        <bgColor indexed="64"/>
      </patternFill>
    </fill>
    <fill>
      <patternFill patternType="solid">
        <fgColor rgb="FFDCDDDE"/>
        <bgColor indexed="64"/>
      </patternFill>
    </fill>
    <fill>
      <patternFill patternType="solid">
        <fgColor rgb="FF0F2044"/>
        <bgColor indexed="64"/>
      </patternFill>
    </fill>
    <fill>
      <patternFill patternType="solid">
        <fgColor rgb="FFFFB71B"/>
        <bgColor indexed="64"/>
      </patternFill>
    </fill>
    <fill>
      <patternFill patternType="solid">
        <fgColor rgb="FFBEC0C2"/>
        <bgColor indexed="64"/>
      </patternFill>
    </fill>
    <fill>
      <patternFill patternType="solid">
        <fgColor rgb="FFB10202"/>
        <bgColor indexed="64"/>
      </patternFill>
    </fill>
    <fill>
      <patternFill patternType="solid">
        <fgColor rgb="FF991B1E"/>
        <bgColor indexed="64"/>
      </patternFill>
    </fill>
    <fill>
      <patternFill patternType="solid">
        <fgColor rgb="FF002A42"/>
        <bgColor indexed="64"/>
      </patternFill>
    </fill>
    <fill>
      <patternFill patternType="solid">
        <fgColor rgb="FF275D38"/>
        <bgColor indexed="64"/>
      </patternFill>
    </fill>
    <fill>
      <patternFill patternType="solid">
        <fgColor rgb="FF8E8C89"/>
        <bgColor indexed="64"/>
      </patternFill>
    </fill>
    <fill>
      <patternFill patternType="solid">
        <fgColor rgb="FFFF8200"/>
        <bgColor indexed="64"/>
      </patternFill>
    </fill>
    <fill>
      <patternFill patternType="solid">
        <fgColor rgb="FF4E2913"/>
        <bgColor indexed="64"/>
      </patternFill>
    </fill>
    <fill>
      <patternFill patternType="solid">
        <fgColor rgb="FF613318"/>
        <bgColor indexed="64"/>
      </patternFill>
    </fill>
    <fill>
      <patternFill patternType="solid">
        <fgColor rgb="FF866D4B"/>
        <bgColor indexed="64"/>
      </patternFill>
    </fill>
    <fill>
      <patternFill patternType="solid">
        <fgColor rgb="FF13B5EA"/>
        <bgColor indexed="64"/>
      </patternFill>
    </fill>
    <fill>
      <patternFill patternType="solid">
        <fgColor rgb="FF8B634B"/>
        <bgColor indexed="64"/>
      </patternFill>
    </fill>
    <fill>
      <patternFill patternType="solid">
        <fgColor rgb="FF232D4B"/>
        <bgColor indexed="64"/>
      </patternFill>
    </fill>
    <fill>
      <patternFill patternType="solid">
        <fgColor rgb="FFF84C1E"/>
        <bgColor indexed="64"/>
      </patternFill>
    </fill>
    <fill>
      <patternFill patternType="solid">
        <fgColor rgb="FFFFB300"/>
        <bgColor indexed="64"/>
      </patternFill>
    </fill>
    <fill>
      <patternFill patternType="solid">
        <fgColor rgb="FFC5050C"/>
        <bgColor indexed="64"/>
      </patternFill>
    </fill>
    <fill>
      <patternFill patternType="solid">
        <fgColor rgb="FF9B0000"/>
        <bgColor indexed="64"/>
      </patternFill>
    </fill>
    <fill>
      <patternFill patternType="solid">
        <fgColor rgb="FFFFC525"/>
        <bgColor indexed="64"/>
      </patternFill>
    </fill>
    <fill>
      <patternFill patternType="solid">
        <fgColor rgb="FF492F24"/>
        <bgColor indexed="64"/>
      </patternFill>
    </fill>
    <fill>
      <patternFill patternType="solid">
        <fgColor rgb="FF026937"/>
        <bgColor indexed="64"/>
      </patternFill>
    </fill>
    <fill>
      <patternFill patternType="solid">
        <fgColor rgb="FFCEA052"/>
        <bgColor indexed="64"/>
      </patternFill>
    </fill>
    <fill>
      <patternFill patternType="solid">
        <fgColor rgb="FFFFFFA5"/>
        <bgColor indexed="64"/>
      </patternFill>
    </fill>
    <fill>
      <patternFill patternType="solid">
        <fgColor rgb="FFDE6328"/>
        <bgColor indexed="64"/>
      </patternFill>
    </fill>
    <fill>
      <patternFill patternType="solid">
        <fgColor rgb="FF886E4C"/>
        <bgColor indexed="64"/>
      </patternFill>
    </fill>
    <fill>
      <patternFill patternType="solid">
        <fgColor rgb="FFC7B37F"/>
        <bgColor indexed="64"/>
      </patternFill>
    </fill>
    <fill>
      <patternFill patternType="solid">
        <fgColor rgb="FF00356B"/>
        <bgColor indexed="64"/>
      </patternFill>
    </fill>
    <fill>
      <patternFill patternType="solid">
        <fgColor rgb="FF58595B"/>
        <bgColor indexed="64"/>
      </patternFill>
    </fill>
    <fill>
      <patternFill patternType="solid">
        <fgColor rgb="FF922247"/>
        <bgColor indexed="64"/>
      </patternFill>
    </fill>
    <fill>
      <patternFill patternType="solid">
        <fgColor rgb="FFFEBD18"/>
        <bgColor indexed="64"/>
      </patternFill>
    </fill>
    <fill>
      <patternFill patternType="solid">
        <fgColor rgb="FFF24D17"/>
        <bgColor indexed="64"/>
      </patternFill>
    </fill>
    <fill>
      <patternFill patternType="solid">
        <fgColor rgb="FF002294"/>
        <bgColor indexed="64"/>
      </patternFill>
    </fill>
    <fill>
      <patternFill patternType="solid">
        <fgColor rgb="FF8B5B29"/>
        <bgColor indexed="64"/>
      </patternFill>
    </fill>
    <fill>
      <patternFill patternType="solid">
        <fgColor rgb="FFC6AA76"/>
        <bgColor indexed="64"/>
      </patternFill>
    </fill>
    <fill>
      <patternFill patternType="solid">
        <fgColor rgb="FFFF6A13"/>
        <bgColor indexed="64"/>
      </patternFill>
    </fill>
    <fill>
      <patternFill patternType="solid">
        <fgColor rgb="FF919497"/>
        <bgColor indexed="64"/>
      </patternFill>
    </fill>
    <fill>
      <patternFill patternType="solid">
        <fgColor rgb="FF4F2180"/>
        <bgColor indexed="64"/>
      </patternFill>
    </fill>
    <fill>
      <patternFill patternType="solid">
        <fgColor rgb="FF010101"/>
        <bgColor indexed="64"/>
      </patternFill>
    </fill>
    <fill>
      <patternFill patternType="solid">
        <fgColor rgb="FFCD1430"/>
        <bgColor indexed="64"/>
      </patternFill>
    </fill>
    <fill>
      <patternFill patternType="solid">
        <fgColor rgb="FFFBC42C"/>
        <bgColor indexed="64"/>
      </patternFill>
    </fill>
    <fill>
      <patternFill patternType="solid">
        <fgColor rgb="FF08224A"/>
        <bgColor indexed="64"/>
      </patternFill>
    </fill>
    <fill>
      <patternFill patternType="solid">
        <fgColor rgb="FFFFFEFE"/>
        <bgColor indexed="64"/>
      </patternFill>
    </fill>
    <fill>
      <patternFill patternType="solid">
        <fgColor rgb="FFEA4D11"/>
        <bgColor indexed="64"/>
      </patternFill>
    </fill>
    <fill>
      <patternFill patternType="solid">
        <fgColor rgb="FF024DA8"/>
        <bgColor indexed="64"/>
      </patternFill>
    </fill>
    <fill>
      <patternFill patternType="solid">
        <fgColor rgb="FF7B030D"/>
        <bgColor indexed="64"/>
      </patternFill>
    </fill>
    <fill>
      <patternFill patternType="solid">
        <fgColor rgb="FF492D23"/>
        <bgColor indexed="64"/>
      </patternFill>
    </fill>
    <fill>
      <patternFill patternType="solid">
        <fgColor rgb="FFCAB781"/>
        <bgColor indexed="64"/>
      </patternFill>
    </fill>
    <fill>
      <patternFill patternType="solid">
        <fgColor rgb="FFF47A1F"/>
        <bgColor indexed="64"/>
      </patternFill>
    </fill>
    <fill>
      <patternFill patternType="solid">
        <fgColor rgb="FFC70005"/>
        <bgColor indexed="64"/>
      </patternFill>
    </fill>
    <fill>
      <patternFill patternType="solid">
        <fgColor rgb="FFB4C1C9"/>
        <bgColor indexed="64"/>
      </patternFill>
    </fill>
    <fill>
      <patternFill patternType="solid">
        <fgColor rgb="FF3C97D2"/>
        <bgColor indexed="64"/>
      </patternFill>
    </fill>
    <fill>
      <patternFill patternType="solid">
        <fgColor rgb="FF085B3B"/>
        <bgColor indexed="64"/>
      </patternFill>
    </fill>
    <fill>
      <patternFill patternType="solid">
        <fgColor rgb="FF8F7046"/>
        <bgColor indexed="64"/>
      </patternFill>
    </fill>
    <fill>
      <patternFill patternType="solid">
        <fgColor rgb="FFEAD59C"/>
        <bgColor indexed="64"/>
      </patternFill>
    </fill>
    <fill>
      <patternFill patternType="solid">
        <fgColor rgb="FF5A6366"/>
        <bgColor indexed="64"/>
      </patternFill>
    </fill>
    <fill>
      <patternFill patternType="solid">
        <fgColor rgb="FF941D34"/>
        <bgColor indexed="64"/>
      </patternFill>
    </fill>
    <fill>
      <patternFill patternType="solid">
        <fgColor rgb="FFF9BF04"/>
        <bgColor indexed="64"/>
      </patternFill>
    </fill>
    <fill>
      <patternFill patternType="solid">
        <fgColor rgb="FFC28D08"/>
        <bgColor indexed="64"/>
      </patternFill>
    </fill>
    <fill>
      <patternFill patternType="solid">
        <fgColor rgb="FF033370"/>
        <bgColor indexed="64"/>
      </patternFill>
    </fill>
    <fill>
      <patternFill patternType="solid">
        <fgColor rgb="FF038453"/>
        <bgColor indexed="64"/>
      </patternFill>
    </fill>
    <fill>
      <patternFill patternType="solid">
        <fgColor rgb="FFB3985D"/>
        <bgColor indexed="64"/>
      </patternFill>
    </fill>
    <fill>
      <patternFill patternType="solid">
        <fgColor rgb="FF9E9D8B"/>
        <bgColor indexed="64"/>
      </patternFill>
    </fill>
    <fill>
      <patternFill patternType="solid">
        <fgColor rgb="FF0B6340"/>
        <bgColor indexed="64"/>
      </patternFill>
    </fill>
    <fill>
      <patternFill patternType="solid">
        <fgColor rgb="FF143272"/>
        <bgColor indexed="64"/>
      </patternFill>
    </fill>
    <fill>
      <patternFill patternType="solid">
        <fgColor rgb="FFF2F3F0"/>
        <bgColor indexed="64"/>
      </patternFill>
    </fill>
    <fill>
      <patternFill patternType="solid">
        <fgColor rgb="FF811824"/>
        <bgColor indexed="64"/>
      </patternFill>
    </fill>
    <fill>
      <patternFill patternType="solid">
        <fgColor rgb="FFD01C22"/>
        <bgColor indexed="64"/>
      </patternFill>
    </fill>
    <fill>
      <patternFill patternType="solid">
        <fgColor rgb="FF020305"/>
        <bgColor indexed="64"/>
      </patternFill>
    </fill>
    <fill>
      <patternFill patternType="solid">
        <fgColor rgb="FFF5B218"/>
        <bgColor indexed="64"/>
      </patternFill>
    </fill>
    <fill>
      <patternFill patternType="solid">
        <fgColor rgb="FF2A2A2A"/>
        <bgColor indexed="64"/>
      </patternFill>
    </fill>
    <fill>
      <patternFill patternType="solid">
        <fgColor rgb="FFD4D47F"/>
        <bgColor indexed="64"/>
      </patternFill>
    </fill>
    <fill>
      <patternFill patternType="solid">
        <fgColor rgb="FF7FD4D4"/>
        <bgColor indexed="64"/>
      </patternFill>
    </fill>
    <fill>
      <patternFill patternType="solid">
        <fgColor rgb="FFD47FD4"/>
        <bgColor indexed="64"/>
      </patternFill>
    </fill>
    <fill>
      <patternFill patternType="solid">
        <fgColor rgb="FFD47F7F"/>
        <bgColor indexed="64"/>
      </patternFill>
    </fill>
    <fill>
      <patternFill patternType="solid">
        <fgColor rgb="FF7FD47F"/>
        <bgColor indexed="64"/>
      </patternFill>
    </fill>
    <fill>
      <patternFill patternType="solid">
        <fgColor rgb="FF7F7FD4"/>
        <bgColor indexed="64"/>
      </patternFill>
    </fill>
    <fill>
      <patternFill patternType="solid">
        <fgColor rgb="FFD4D4D4"/>
        <bgColor indexed="64"/>
      </patternFill>
    </fill>
    <fill>
      <patternFill patternType="solid">
        <fgColor rgb="FFD4D42A"/>
        <bgColor indexed="64"/>
      </patternFill>
    </fill>
    <fill>
      <patternFill patternType="solid">
        <fgColor rgb="FFD42AD4"/>
        <bgColor indexed="64"/>
      </patternFill>
    </fill>
    <fill>
      <patternFill patternType="solid">
        <fgColor rgb="FF2AD4D4"/>
        <bgColor indexed="64"/>
      </patternFill>
    </fill>
    <fill>
      <patternFill patternType="solid">
        <fgColor rgb="FFD42A2A"/>
        <bgColor indexed="64"/>
      </patternFill>
    </fill>
    <fill>
      <patternFill patternType="solid">
        <fgColor rgb="FF2AD42A"/>
        <bgColor indexed="64"/>
      </patternFill>
    </fill>
    <fill>
      <patternFill patternType="solid">
        <fgColor rgb="FF2A2AD4"/>
        <bgColor indexed="64"/>
      </patternFill>
    </fill>
    <fill>
      <patternFill patternType="solid">
        <fgColor rgb="FFD47F2A"/>
        <bgColor indexed="64"/>
      </patternFill>
    </fill>
    <fill>
      <patternFill patternType="solid">
        <fgColor rgb="FFD42A7F"/>
        <bgColor indexed="64"/>
      </patternFill>
    </fill>
    <fill>
      <patternFill patternType="solid">
        <fgColor rgb="FF7FD42A"/>
        <bgColor indexed="64"/>
      </patternFill>
    </fill>
    <fill>
      <patternFill patternType="solid">
        <fgColor rgb="FF2AD47F"/>
        <bgColor indexed="64"/>
      </patternFill>
    </fill>
    <fill>
      <patternFill patternType="solid">
        <fgColor rgb="FF2A7FD4"/>
        <bgColor indexed="64"/>
      </patternFill>
    </fill>
    <fill>
      <patternFill patternType="solid">
        <fgColor rgb="FF7F2AD4"/>
        <bgColor indexed="64"/>
      </patternFill>
    </fill>
    <fill>
      <patternFill patternType="solid">
        <fgColor rgb="FF2A2A7F"/>
        <bgColor indexed="64"/>
      </patternFill>
    </fill>
    <fill>
      <patternFill patternType="solid">
        <fgColor rgb="FF2A7F2A"/>
        <bgColor indexed="64"/>
      </patternFill>
    </fill>
    <fill>
      <patternFill patternType="solid">
        <fgColor rgb="FF7F2A2A"/>
        <bgColor indexed="64"/>
      </patternFill>
    </fill>
    <fill>
      <patternFill patternType="solid">
        <fgColor rgb="FF7F7F2A"/>
        <bgColor indexed="64"/>
      </patternFill>
    </fill>
    <fill>
      <patternFill patternType="solid">
        <fgColor rgb="FF7F2A7F"/>
        <bgColor indexed="64"/>
      </patternFill>
    </fill>
    <fill>
      <patternFill patternType="solid">
        <fgColor rgb="FF2A7F7F"/>
        <bgColor indexed="64"/>
      </patternFill>
    </fill>
    <fill>
      <patternFill patternType="solid">
        <fgColor rgb="FFFFC31D"/>
        <bgColor indexed="64"/>
      </patternFill>
    </fill>
    <fill>
      <patternFill patternType="solid">
        <fgColor rgb="FFDFD8C8"/>
        <bgColor indexed="64"/>
      </patternFill>
    </fill>
    <fill>
      <patternFill patternType="solid">
        <fgColor rgb="FFEF600F"/>
        <bgColor indexed="64"/>
      </patternFill>
    </fill>
    <fill>
      <patternFill patternType="solid">
        <fgColor rgb="FF730825"/>
        <bgColor indexed="64"/>
      </patternFill>
    </fill>
    <fill>
      <patternFill patternType="solid">
        <fgColor rgb="FFD82324"/>
        <bgColor indexed="64"/>
      </patternFill>
    </fill>
    <fill>
      <patternFill patternType="solid">
        <fgColor rgb="FF042958"/>
        <bgColor indexed="64"/>
      </patternFill>
    </fill>
    <fill>
      <patternFill patternType="solid">
        <fgColor rgb="FF0D7EC9"/>
        <bgColor indexed="64"/>
      </patternFill>
    </fill>
    <fill>
      <patternFill patternType="solid">
        <fgColor rgb="FF61B5E7"/>
        <bgColor indexed="64"/>
      </patternFill>
    </fill>
    <fill>
      <patternFill patternType="solid">
        <fgColor rgb="FFFFCB30"/>
        <bgColor indexed="64"/>
      </patternFill>
    </fill>
    <fill>
      <patternFill patternType="solid">
        <fgColor rgb="FF013C82"/>
        <bgColor indexed="64"/>
      </patternFill>
    </fill>
    <fill>
      <patternFill patternType="solid">
        <fgColor rgb="FFF6C310"/>
        <bgColor indexed="64"/>
      </patternFill>
    </fill>
    <fill>
      <patternFill patternType="solid">
        <fgColor rgb="FF03355C"/>
        <bgColor indexed="64"/>
      </patternFill>
    </fill>
    <fill>
      <patternFill patternType="solid">
        <fgColor rgb="FFB2BEC7"/>
        <bgColor indexed="64"/>
      </patternFill>
    </fill>
    <fill>
      <patternFill patternType="solid">
        <fgColor rgb="FFFAB614"/>
        <bgColor indexed="64"/>
      </patternFill>
    </fill>
    <fill>
      <patternFill patternType="solid">
        <fgColor rgb="FFC81E30"/>
        <bgColor indexed="64"/>
      </patternFill>
    </fill>
    <fill>
      <patternFill patternType="solid">
        <fgColor rgb="FF1254B1"/>
        <bgColor indexed="64"/>
      </patternFill>
    </fill>
    <fill>
      <patternFill patternType="solid">
        <fgColor rgb="FFDD0013"/>
        <bgColor indexed="64"/>
      </patternFill>
    </fill>
    <fill>
      <patternFill patternType="solid">
        <fgColor rgb="FFF74515"/>
        <bgColor indexed="64"/>
      </patternFill>
    </fill>
    <fill>
      <patternFill patternType="solid">
        <fgColor rgb="FF5190D0"/>
        <bgColor indexed="64"/>
      </patternFill>
    </fill>
    <fill>
      <patternFill patternType="solid">
        <fgColor rgb="FF102E54"/>
        <bgColor indexed="64"/>
      </patternFill>
    </fill>
    <fill>
      <patternFill patternType="solid">
        <fgColor rgb="FFC51024"/>
        <bgColor indexed="64"/>
      </patternFill>
    </fill>
    <fill>
      <patternFill patternType="solid">
        <fgColor rgb="FF020306"/>
        <bgColor indexed="64"/>
      </patternFill>
    </fill>
    <fill>
      <patternFill patternType="solid">
        <fgColor rgb="FFAA0C1A"/>
        <bgColor indexed="64"/>
      </patternFill>
    </fill>
    <fill>
      <patternFill patternType="solid">
        <fgColor rgb="FFBBBAB5"/>
        <bgColor indexed="64"/>
      </patternFill>
    </fill>
    <fill>
      <patternFill patternType="solid">
        <fgColor rgb="FF00A642"/>
        <bgColor indexed="64"/>
      </patternFill>
    </fill>
    <fill>
      <patternFill patternType="solid">
        <fgColor rgb="FFA7ACAE"/>
        <bgColor indexed="64"/>
      </patternFill>
    </fill>
    <fill>
      <patternFill patternType="solid">
        <fgColor rgb="FF5F0407"/>
        <bgColor indexed="64"/>
      </patternFill>
    </fill>
    <fill>
      <patternFill patternType="solid">
        <fgColor rgb="FF063261"/>
        <bgColor indexed="64"/>
      </patternFill>
    </fill>
    <fill>
      <patternFill patternType="solid">
        <fgColor rgb="FF878580"/>
        <bgColor indexed="64"/>
      </patternFill>
    </fill>
    <fill>
      <patternFill patternType="solid">
        <fgColor rgb="FF0F65BA"/>
        <bgColor indexed="64"/>
      </patternFill>
    </fill>
    <fill>
      <patternFill patternType="solid">
        <fgColor rgb="FF004656"/>
        <bgColor indexed="64"/>
      </patternFill>
    </fill>
    <fill>
      <patternFill patternType="solid">
        <fgColor rgb="FFE0B130"/>
        <bgColor indexed="64"/>
      </patternFill>
    </fill>
    <fill>
      <patternFill patternType="solid">
        <fgColor rgb="FF010202"/>
        <bgColor indexed="64"/>
      </patternFill>
    </fill>
    <fill>
      <patternFill patternType="solid">
        <fgColor rgb="FFAD1126"/>
        <bgColor indexed="64"/>
      </patternFill>
    </fill>
    <fill>
      <patternFill patternType="solid">
        <fgColor rgb="FF747777"/>
        <bgColor indexed="64"/>
      </patternFill>
    </fill>
    <fill>
      <patternFill patternType="solid">
        <fgColor rgb="FFDC2034"/>
        <bgColor indexed="64"/>
      </patternFill>
    </fill>
    <fill>
      <patternFill patternType="solid">
        <fgColor rgb="FFAABEC7"/>
        <bgColor indexed="64"/>
      </patternFill>
    </fill>
    <fill>
      <patternFill patternType="solid">
        <fgColor rgb="FF0C233D"/>
        <bgColor indexed="64"/>
      </patternFill>
    </fill>
    <fill>
      <patternFill patternType="solid">
        <fgColor rgb="FFF3B217"/>
        <bgColor indexed="64"/>
      </patternFill>
    </fill>
    <fill>
      <patternFill patternType="solid">
        <fgColor rgb="FF066446"/>
        <bgColor indexed="64"/>
      </patternFill>
    </fill>
    <fill>
      <patternFill patternType="solid">
        <fgColor rgb="FF42147C"/>
        <bgColor indexed="64"/>
      </patternFill>
    </fill>
    <fill>
      <patternFill patternType="solid">
        <fgColor rgb="FFDDD2BA"/>
        <bgColor indexed="64"/>
      </patternFill>
    </fill>
    <fill>
      <patternFill patternType="solid">
        <fgColor rgb="FF062B48"/>
        <bgColor indexed="64"/>
      </patternFill>
    </fill>
    <fill>
      <patternFill patternType="solid">
        <fgColor rgb="FFC92629"/>
        <bgColor indexed="64"/>
      </patternFill>
    </fill>
    <fill>
      <patternFill patternType="solid">
        <fgColor rgb="FF941A29"/>
        <bgColor indexed="64"/>
      </patternFill>
    </fill>
    <fill>
      <patternFill patternType="solid">
        <fgColor rgb="FFFBC826"/>
        <bgColor indexed="64"/>
      </patternFill>
    </fill>
    <fill>
      <patternFill patternType="solid">
        <fgColor rgb="FFEE770F"/>
        <bgColor indexed="64"/>
      </patternFill>
    </fill>
    <fill>
      <patternFill patternType="solid">
        <fgColor rgb="FF28373F"/>
        <bgColor indexed="64"/>
      </patternFill>
    </fill>
    <fill>
      <patternFill patternType="solid">
        <fgColor rgb="FFB60E2A"/>
        <bgColor indexed="64"/>
      </patternFill>
    </fill>
    <fill>
      <patternFill patternType="solid">
        <fgColor rgb="FF042C61"/>
        <bgColor indexed="64"/>
      </patternFill>
    </fill>
    <fill>
      <patternFill patternType="solid">
        <fgColor rgb="FF034645"/>
        <bgColor indexed="64"/>
      </patternFill>
    </fill>
    <fill>
      <patternFill patternType="solid">
        <fgColor rgb="FFC5AC71"/>
        <bgColor indexed="64"/>
      </patternFill>
    </fill>
    <fill>
      <patternFill patternType="solid">
        <fgColor rgb="FF125BAC"/>
        <bgColor indexed="64"/>
      </patternFill>
    </fill>
    <fill>
      <patternFill patternType="solid">
        <fgColor rgb="FF7D2236"/>
        <bgColor indexed="64"/>
      </patternFill>
    </fill>
    <fill>
      <patternFill patternType="solid">
        <fgColor rgb="FFA09D92"/>
        <bgColor indexed="64"/>
      </patternFill>
    </fill>
    <fill>
      <patternFill patternType="solid">
        <fgColor rgb="FF242C65"/>
        <bgColor indexed="64"/>
      </patternFill>
    </fill>
    <fill>
      <patternFill patternType="solid">
        <fgColor rgb="FF004859"/>
        <bgColor indexed="64"/>
      </patternFill>
    </fill>
    <fill>
      <patternFill patternType="solid">
        <fgColor rgb="FF168D52"/>
        <bgColor indexed="64"/>
      </patternFill>
    </fill>
    <fill>
      <patternFill patternType="solid">
        <fgColor rgb="FFEA520B"/>
        <bgColor indexed="64"/>
      </patternFill>
    </fill>
    <fill>
      <patternFill patternType="solid">
        <fgColor rgb="FF1B2B91"/>
        <bgColor indexed="64"/>
      </patternFill>
    </fill>
    <fill>
      <patternFill patternType="solid">
        <fgColor rgb="FFCC9D38"/>
        <bgColor indexed="64"/>
      </patternFill>
    </fill>
    <fill>
      <patternFill patternType="solid">
        <fgColor rgb="FFD8A930"/>
        <bgColor indexed="64"/>
      </patternFill>
    </fill>
    <fill>
      <patternFill patternType="solid">
        <fgColor rgb="FFFBB91D"/>
        <bgColor indexed="64"/>
      </patternFill>
    </fill>
    <fill>
      <patternFill patternType="solid">
        <fgColor rgb="FF00426D"/>
        <bgColor indexed="64"/>
      </patternFill>
    </fill>
    <fill>
      <patternFill patternType="solid">
        <fgColor rgb="FF4E1E81"/>
        <bgColor indexed="64"/>
      </patternFill>
    </fill>
    <fill>
      <patternFill patternType="solid">
        <fgColor rgb="FFAAA88F"/>
        <bgColor indexed="64"/>
      </patternFill>
    </fill>
    <fill>
      <patternFill patternType="solid">
        <fgColor rgb="FF9B1A2A"/>
        <bgColor indexed="64"/>
      </patternFill>
    </fill>
    <fill>
      <patternFill patternType="solid">
        <fgColor rgb="FF554240"/>
        <bgColor indexed="64"/>
      </patternFill>
    </fill>
    <fill>
      <patternFill patternType="solid">
        <fgColor rgb="FF4F1E7D"/>
        <bgColor indexed="64"/>
      </patternFill>
    </fill>
    <fill>
      <patternFill patternType="solid">
        <fgColor rgb="FFF8BD14"/>
        <bgColor indexed="64"/>
      </patternFill>
    </fill>
    <fill>
      <patternFill patternType="solid">
        <fgColor rgb="FF7B607E"/>
        <bgColor indexed="64"/>
      </patternFill>
    </fill>
    <fill>
      <patternFill patternType="solid">
        <fgColor rgb="FF002172"/>
        <bgColor indexed="64"/>
      </patternFill>
    </fill>
    <fill>
      <patternFill patternType="solid">
        <fgColor rgb="FF07439F"/>
        <bgColor indexed="64"/>
      </patternFill>
    </fill>
    <fill>
      <patternFill patternType="solid">
        <fgColor rgb="FFD12C2E"/>
        <bgColor indexed="64"/>
      </patternFill>
    </fill>
    <fill>
      <patternFill patternType="solid">
        <fgColor rgb="FF710410"/>
        <bgColor indexed="64"/>
      </patternFill>
    </fill>
    <fill>
      <patternFill patternType="solid">
        <fgColor rgb="FFAE935C"/>
        <bgColor indexed="64"/>
      </patternFill>
    </fill>
    <fill>
      <patternFill patternType="solid">
        <fgColor rgb="FFA9172C"/>
        <bgColor indexed="64"/>
      </patternFill>
    </fill>
    <fill>
      <patternFill patternType="solid">
        <fgColor rgb="FFFDFDF9"/>
        <bgColor indexed="64"/>
      </patternFill>
    </fill>
    <fill>
      <patternFill patternType="solid">
        <fgColor rgb="FF0F614C"/>
        <bgColor indexed="64"/>
      </patternFill>
    </fill>
    <fill>
      <patternFill patternType="solid">
        <fgColor rgb="FFECAA18"/>
        <bgColor indexed="64"/>
      </patternFill>
    </fill>
    <fill>
      <patternFill patternType="solid">
        <fgColor rgb="FFB4A787"/>
        <bgColor indexed="64"/>
      </patternFill>
    </fill>
    <fill>
      <patternFill patternType="solid">
        <fgColor rgb="FF003364"/>
        <bgColor indexed="64"/>
      </patternFill>
    </fill>
    <fill>
      <patternFill patternType="solid">
        <fgColor rgb="FFC6141B"/>
        <bgColor indexed="64"/>
      </patternFill>
    </fill>
    <fill>
      <patternFill patternType="solid">
        <fgColor rgb="FF8D0B14"/>
        <bgColor indexed="64"/>
      </patternFill>
    </fill>
    <fill>
      <patternFill patternType="solid">
        <fgColor rgb="FF24262E"/>
        <bgColor indexed="64"/>
      </patternFill>
    </fill>
    <fill>
      <patternFill patternType="solid">
        <fgColor rgb="FF6F4242"/>
        <bgColor indexed="64"/>
      </patternFill>
    </fill>
    <fill>
      <patternFill patternType="solid">
        <fgColor rgb="FFFFC7CE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4"/>
      </patternFill>
    </fill>
  </fills>
  <borders count="4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6">
    <xf numFmtId="0" fontId="0" fillId="0" borderId="0"/>
    <xf numFmtId="0" fontId="1" fillId="0" borderId="0" applyNumberFormat="0" applyFill="0" applyBorder="0" applyAlignment="0" applyProtection="0"/>
    <xf numFmtId="0" fontId="3" fillId="782" borderId="0" applyNumberFormat="0" applyBorder="0" applyAlignment="0" applyProtection="0"/>
    <xf numFmtId="0" fontId="4" fillId="783" borderId="2" applyNumberFormat="0" applyAlignment="0" applyProtection="0"/>
    <xf numFmtId="0" fontId="5" fillId="784" borderId="3" applyNumberFormat="0" applyAlignment="0" applyProtection="0"/>
    <xf numFmtId="0" fontId="6" fillId="785" borderId="0" applyNumberFormat="0" applyBorder="0" applyAlignment="0" applyProtection="0"/>
  </cellStyleXfs>
  <cellXfs count="789">
    <xf numFmtId="0" fontId="0" fillId="0" borderId="0" xfId="0"/>
    <xf numFmtId="0" fontId="1" fillId="0" borderId="0" xfId="1"/>
    <xf numFmtId="0" fontId="0" fillId="0" borderId="0" xfId="0" applyNumberFormat="1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0" fillId="20" borderId="0" xfId="0" applyFill="1"/>
    <xf numFmtId="0" fontId="0" fillId="21" borderId="0" xfId="0" applyFill="1"/>
    <xf numFmtId="0" fontId="0" fillId="22" borderId="0" xfId="0" applyFill="1"/>
    <xf numFmtId="0" fontId="0" fillId="23" borderId="0" xfId="0" applyFill="1"/>
    <xf numFmtId="0" fontId="0" fillId="24" borderId="0" xfId="0" applyFill="1"/>
    <xf numFmtId="0" fontId="0" fillId="25" borderId="0" xfId="0" applyFill="1"/>
    <xf numFmtId="0" fontId="0" fillId="26" borderId="0" xfId="0" applyFill="1"/>
    <xf numFmtId="0" fontId="0" fillId="27" borderId="0" xfId="0" applyFill="1"/>
    <xf numFmtId="0" fontId="0" fillId="28" borderId="0" xfId="0" applyFill="1"/>
    <xf numFmtId="0" fontId="0" fillId="29" borderId="0" xfId="0" applyFill="1"/>
    <xf numFmtId="0" fontId="0" fillId="30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36" borderId="0" xfId="0" applyFill="1"/>
    <xf numFmtId="0" fontId="0" fillId="37" borderId="0" xfId="0" applyFill="1"/>
    <xf numFmtId="0" fontId="0" fillId="38" borderId="0" xfId="0" applyFill="1"/>
    <xf numFmtId="0" fontId="0" fillId="39" borderId="0" xfId="0" applyFill="1"/>
    <xf numFmtId="0" fontId="0" fillId="40" borderId="0" xfId="0" applyFill="1"/>
    <xf numFmtId="0" fontId="0" fillId="41" borderId="0" xfId="0" applyFill="1"/>
    <xf numFmtId="0" fontId="0" fillId="42" borderId="0" xfId="0" applyFill="1"/>
    <xf numFmtId="0" fontId="0" fillId="43" borderId="0" xfId="0" applyFill="1"/>
    <xf numFmtId="0" fontId="0" fillId="44" borderId="0" xfId="0" applyFill="1"/>
    <xf numFmtId="0" fontId="0" fillId="45" borderId="0" xfId="0" applyFill="1"/>
    <xf numFmtId="0" fontId="0" fillId="46" borderId="0" xfId="0" applyFill="1"/>
    <xf numFmtId="0" fontId="0" fillId="47" borderId="0" xfId="0" applyFill="1"/>
    <xf numFmtId="0" fontId="0" fillId="48" borderId="0" xfId="0" applyFill="1"/>
    <xf numFmtId="0" fontId="0" fillId="49" borderId="0" xfId="0" applyFill="1"/>
    <xf numFmtId="0" fontId="2" fillId="50" borderId="0" xfId="0" applyFont="1" applyFill="1"/>
    <xf numFmtId="0" fontId="0" fillId="51" borderId="0" xfId="0" applyFill="1"/>
    <xf numFmtId="0" fontId="0" fillId="52" borderId="0" xfId="0" applyFill="1"/>
    <xf numFmtId="0" fontId="0" fillId="53" borderId="0" xfId="0" applyFill="1"/>
    <xf numFmtId="0" fontId="0" fillId="54" borderId="0" xfId="0" applyFill="1"/>
    <xf numFmtId="0" fontId="0" fillId="55" borderId="0" xfId="0" applyFill="1"/>
    <xf numFmtId="0" fontId="0" fillId="56" borderId="0" xfId="0" applyFill="1"/>
    <xf numFmtId="0" fontId="0" fillId="0" borderId="0" xfId="0" applyFill="1"/>
    <xf numFmtId="0" fontId="0" fillId="57" borderId="0" xfId="0" applyFill="1"/>
    <xf numFmtId="0" fontId="0" fillId="58" borderId="0" xfId="0" applyFill="1"/>
    <xf numFmtId="0" fontId="0" fillId="59" borderId="0" xfId="0" applyFill="1"/>
    <xf numFmtId="0" fontId="0" fillId="60" borderId="0" xfId="0" applyFill="1"/>
    <xf numFmtId="0" fontId="0" fillId="61" borderId="0" xfId="0" applyFill="1"/>
    <xf numFmtId="0" fontId="0" fillId="62" borderId="0" xfId="0" applyFill="1"/>
    <xf numFmtId="0" fontId="0" fillId="63" borderId="0" xfId="0" applyFill="1"/>
    <xf numFmtId="0" fontId="0" fillId="64" borderId="0" xfId="0" applyFill="1"/>
    <xf numFmtId="0" fontId="0" fillId="65" borderId="0" xfId="0" applyFill="1"/>
    <xf numFmtId="0" fontId="0" fillId="66" borderId="0" xfId="0" applyFill="1"/>
    <xf numFmtId="0" fontId="0" fillId="67" borderId="0" xfId="0" applyFill="1"/>
    <xf numFmtId="0" fontId="0" fillId="68" borderId="0" xfId="0" applyFill="1"/>
    <xf numFmtId="0" fontId="0" fillId="69" borderId="0" xfId="0" applyFill="1"/>
    <xf numFmtId="0" fontId="0" fillId="70" borderId="0" xfId="0" applyFill="1"/>
    <xf numFmtId="0" fontId="0" fillId="71" borderId="0" xfId="0" applyFill="1"/>
    <xf numFmtId="0" fontId="0" fillId="72" borderId="0" xfId="0" applyFill="1"/>
    <xf numFmtId="0" fontId="0" fillId="73" borderId="0" xfId="0" applyFill="1"/>
    <xf numFmtId="0" fontId="0" fillId="74" borderId="0" xfId="0" applyFill="1"/>
    <xf numFmtId="0" fontId="0" fillId="75" borderId="0" xfId="0" applyFill="1"/>
    <xf numFmtId="0" fontId="0" fillId="76" borderId="0" xfId="0" applyFill="1"/>
    <xf numFmtId="0" fontId="0" fillId="77" borderId="0" xfId="0" applyFill="1"/>
    <xf numFmtId="0" fontId="0" fillId="78" borderId="0" xfId="0" applyFill="1"/>
    <xf numFmtId="0" fontId="0" fillId="79" borderId="0" xfId="0" applyFill="1"/>
    <xf numFmtId="0" fontId="0" fillId="80" borderId="0" xfId="0" applyFill="1"/>
    <xf numFmtId="0" fontId="0" fillId="81" borderId="0" xfId="0" applyFill="1"/>
    <xf numFmtId="0" fontId="0" fillId="82" borderId="0" xfId="0" applyFill="1"/>
    <xf numFmtId="0" fontId="0" fillId="83" borderId="0" xfId="0" applyFill="1"/>
    <xf numFmtId="0" fontId="0" fillId="84" borderId="0" xfId="0" applyFill="1"/>
    <xf numFmtId="0" fontId="0" fillId="85" borderId="0" xfId="0" applyFill="1"/>
    <xf numFmtId="0" fontId="0" fillId="86" borderId="0" xfId="0" applyFill="1"/>
    <xf numFmtId="0" fontId="0" fillId="87" borderId="0" xfId="0" applyFill="1"/>
    <xf numFmtId="0" fontId="0" fillId="88" borderId="0" xfId="0" applyFill="1"/>
    <xf numFmtId="0" fontId="0" fillId="89" borderId="0" xfId="0" applyFill="1"/>
    <xf numFmtId="0" fontId="0" fillId="90" borderId="0" xfId="0" applyFill="1"/>
    <xf numFmtId="0" fontId="0" fillId="91" borderId="0" xfId="0" applyFill="1"/>
    <xf numFmtId="0" fontId="0" fillId="92" borderId="0" xfId="0" applyFill="1"/>
    <xf numFmtId="0" fontId="0" fillId="93" borderId="0" xfId="0" applyFill="1"/>
    <xf numFmtId="0" fontId="0" fillId="94" borderId="0" xfId="0" applyFill="1"/>
    <xf numFmtId="0" fontId="0" fillId="95" borderId="0" xfId="0" applyFill="1"/>
    <xf numFmtId="0" fontId="0" fillId="96" borderId="0" xfId="0" applyFill="1"/>
    <xf numFmtId="0" fontId="0" fillId="97" borderId="0" xfId="0" applyFill="1"/>
    <xf numFmtId="0" fontId="0" fillId="98" borderId="0" xfId="0" applyFill="1"/>
    <xf numFmtId="0" fontId="0" fillId="99" borderId="0" xfId="0" applyFill="1"/>
    <xf numFmtId="0" fontId="0" fillId="100" borderId="0" xfId="0" applyFill="1"/>
    <xf numFmtId="0" fontId="0" fillId="101" borderId="0" xfId="0" applyFill="1"/>
    <xf numFmtId="0" fontId="0" fillId="102" borderId="0" xfId="0" applyFill="1"/>
    <xf numFmtId="0" fontId="0" fillId="103" borderId="0" xfId="0" applyFill="1"/>
    <xf numFmtId="0" fontId="0" fillId="104" borderId="0" xfId="0" applyFill="1"/>
    <xf numFmtId="0" fontId="0" fillId="105" borderId="0" xfId="0" applyFill="1"/>
    <xf numFmtId="0" fontId="0" fillId="106" borderId="0" xfId="0" applyFill="1"/>
    <xf numFmtId="0" fontId="0" fillId="107" borderId="0" xfId="0" applyFill="1"/>
    <xf numFmtId="0" fontId="0" fillId="108" borderId="0" xfId="0" applyFill="1"/>
    <xf numFmtId="0" fontId="0" fillId="109" borderId="0" xfId="0" applyFill="1"/>
    <xf numFmtId="0" fontId="0" fillId="110" borderId="0" xfId="0" applyFill="1"/>
    <xf numFmtId="0" fontId="0" fillId="111" borderId="0" xfId="0" applyFill="1"/>
    <xf numFmtId="0" fontId="0" fillId="112" borderId="0" xfId="0" applyFill="1"/>
    <xf numFmtId="0" fontId="0" fillId="113" borderId="0" xfId="0" applyFill="1"/>
    <xf numFmtId="0" fontId="0" fillId="114" borderId="0" xfId="0" applyFill="1"/>
    <xf numFmtId="0" fontId="0" fillId="115" borderId="0" xfId="0" applyFill="1"/>
    <xf numFmtId="0" fontId="0" fillId="116" borderId="0" xfId="0" applyFill="1"/>
    <xf numFmtId="0" fontId="0" fillId="117" borderId="0" xfId="0" applyFill="1"/>
    <xf numFmtId="0" fontId="0" fillId="118" borderId="0" xfId="0" applyFill="1"/>
    <xf numFmtId="0" fontId="0" fillId="119" borderId="0" xfId="0" applyFill="1"/>
    <xf numFmtId="0" fontId="0" fillId="120" borderId="0" xfId="0" applyFill="1"/>
    <xf numFmtId="0" fontId="0" fillId="121" borderId="0" xfId="0" applyFill="1"/>
    <xf numFmtId="0" fontId="0" fillId="122" borderId="0" xfId="0" applyFill="1"/>
    <xf numFmtId="0" fontId="0" fillId="123" borderId="0" xfId="0" applyFill="1"/>
    <xf numFmtId="0" fontId="0" fillId="124" borderId="0" xfId="0" applyFill="1"/>
    <xf numFmtId="0" fontId="0" fillId="125" borderId="0" xfId="0" applyFill="1"/>
    <xf numFmtId="0" fontId="0" fillId="126" borderId="0" xfId="0" applyFill="1"/>
    <xf numFmtId="0" fontId="0" fillId="127" borderId="0" xfId="0" applyFill="1"/>
    <xf numFmtId="0" fontId="0" fillId="128" borderId="0" xfId="0" applyFill="1"/>
    <xf numFmtId="0" fontId="0" fillId="129" borderId="0" xfId="0" applyFill="1"/>
    <xf numFmtId="0" fontId="0" fillId="130" borderId="0" xfId="0" applyFill="1"/>
    <xf numFmtId="0" fontId="0" fillId="131" borderId="0" xfId="0" applyFill="1"/>
    <xf numFmtId="0" fontId="0" fillId="132" borderId="0" xfId="0" applyFill="1"/>
    <xf numFmtId="0" fontId="0" fillId="133" borderId="0" xfId="0" applyFill="1"/>
    <xf numFmtId="0" fontId="0" fillId="134" borderId="0" xfId="0" applyFill="1"/>
    <xf numFmtId="0" fontId="0" fillId="135" borderId="0" xfId="0" applyFill="1"/>
    <xf numFmtId="0" fontId="0" fillId="136" borderId="0" xfId="0" applyFill="1"/>
    <xf numFmtId="0" fontId="0" fillId="137" borderId="0" xfId="0" applyFill="1"/>
    <xf numFmtId="0" fontId="0" fillId="138" borderId="0" xfId="0" applyFill="1"/>
    <xf numFmtId="0" fontId="0" fillId="139" borderId="0" xfId="0" applyFill="1"/>
    <xf numFmtId="0" fontId="0" fillId="140" borderId="0" xfId="0" applyFill="1"/>
    <xf numFmtId="0" fontId="0" fillId="141" borderId="0" xfId="0" applyFill="1"/>
    <xf numFmtId="0" fontId="0" fillId="142" borderId="0" xfId="0" applyFill="1"/>
    <xf numFmtId="0" fontId="0" fillId="143" borderId="0" xfId="0" applyFill="1"/>
    <xf numFmtId="0" fontId="0" fillId="144" borderId="0" xfId="0" applyFill="1"/>
    <xf numFmtId="0" fontId="0" fillId="145" borderId="0" xfId="0" applyFill="1"/>
    <xf numFmtId="0" fontId="0" fillId="146" borderId="0" xfId="0" applyFill="1"/>
    <xf numFmtId="0" fontId="0" fillId="147" borderId="0" xfId="0" applyFill="1"/>
    <xf numFmtId="0" fontId="0" fillId="148" borderId="0" xfId="0" applyFill="1"/>
    <xf numFmtId="0" fontId="0" fillId="149" borderId="0" xfId="0" applyFill="1"/>
    <xf numFmtId="0" fontId="0" fillId="150" borderId="0" xfId="0" applyFill="1"/>
    <xf numFmtId="0" fontId="0" fillId="151" borderId="0" xfId="0" applyFill="1"/>
    <xf numFmtId="0" fontId="0" fillId="152" borderId="0" xfId="0" applyFill="1"/>
    <xf numFmtId="0" fontId="0" fillId="153" borderId="0" xfId="0" applyFill="1"/>
    <xf numFmtId="0" fontId="0" fillId="154" borderId="0" xfId="0" applyFill="1"/>
    <xf numFmtId="0" fontId="0" fillId="155" borderId="0" xfId="0" applyFill="1"/>
    <xf numFmtId="0" fontId="0" fillId="156" borderId="0" xfId="0" applyFill="1"/>
    <xf numFmtId="0" fontId="0" fillId="157" borderId="0" xfId="0" applyFill="1"/>
    <xf numFmtId="0" fontId="0" fillId="158" borderId="0" xfId="0" applyFill="1"/>
    <xf numFmtId="0" fontId="0" fillId="159" borderId="0" xfId="0" applyFill="1"/>
    <xf numFmtId="0" fontId="0" fillId="160" borderId="0" xfId="0" applyFill="1"/>
    <xf numFmtId="0" fontId="0" fillId="161" borderId="0" xfId="0" applyFill="1"/>
    <xf numFmtId="0" fontId="0" fillId="162" borderId="0" xfId="0" applyFill="1"/>
    <xf numFmtId="0" fontId="0" fillId="163" borderId="0" xfId="0" applyFill="1"/>
    <xf numFmtId="0" fontId="0" fillId="164" borderId="0" xfId="0" applyFill="1"/>
    <xf numFmtId="0" fontId="0" fillId="165" borderId="0" xfId="0" applyFill="1"/>
    <xf numFmtId="0" fontId="0" fillId="166" borderId="0" xfId="0" applyFill="1"/>
    <xf numFmtId="0" fontId="0" fillId="167" borderId="0" xfId="0" applyFill="1"/>
    <xf numFmtId="0" fontId="0" fillId="168" borderId="0" xfId="0" applyFill="1"/>
    <xf numFmtId="0" fontId="0" fillId="169" borderId="0" xfId="0" applyFill="1"/>
    <xf numFmtId="0" fontId="0" fillId="170" borderId="0" xfId="0" applyFill="1"/>
    <xf numFmtId="0" fontId="0" fillId="171" borderId="0" xfId="0" applyFill="1"/>
    <xf numFmtId="0" fontId="0" fillId="172" borderId="0" xfId="0" applyFill="1"/>
    <xf numFmtId="0" fontId="0" fillId="173" borderId="0" xfId="0" applyFill="1"/>
    <xf numFmtId="0" fontId="0" fillId="174" borderId="0" xfId="0" applyFill="1"/>
    <xf numFmtId="0" fontId="0" fillId="175" borderId="0" xfId="0" applyFill="1"/>
    <xf numFmtId="0" fontId="0" fillId="176" borderId="0" xfId="0" applyFill="1"/>
    <xf numFmtId="0" fontId="0" fillId="177" borderId="0" xfId="0" applyFill="1"/>
    <xf numFmtId="0" fontId="0" fillId="178" borderId="0" xfId="0" applyFill="1"/>
    <xf numFmtId="0" fontId="0" fillId="179" borderId="0" xfId="0" applyFill="1"/>
    <xf numFmtId="0" fontId="0" fillId="180" borderId="0" xfId="0" applyFill="1"/>
    <xf numFmtId="0" fontId="0" fillId="181" borderId="0" xfId="0" applyFill="1"/>
    <xf numFmtId="0" fontId="0" fillId="182" borderId="0" xfId="0" applyFill="1"/>
    <xf numFmtId="0" fontId="0" fillId="183" borderId="0" xfId="0" applyFill="1"/>
    <xf numFmtId="0" fontId="0" fillId="184" borderId="0" xfId="0" applyFill="1"/>
    <xf numFmtId="0" fontId="0" fillId="185" borderId="0" xfId="0" applyFill="1"/>
    <xf numFmtId="0" fontId="0" fillId="186" borderId="0" xfId="0" applyFill="1"/>
    <xf numFmtId="0" fontId="0" fillId="187" borderId="0" xfId="0" applyFill="1"/>
    <xf numFmtId="0" fontId="0" fillId="188" borderId="0" xfId="0" applyFill="1"/>
    <xf numFmtId="0" fontId="0" fillId="189" borderId="0" xfId="0" applyFill="1"/>
    <xf numFmtId="0" fontId="0" fillId="190" borderId="0" xfId="0" applyFill="1"/>
    <xf numFmtId="0" fontId="0" fillId="191" borderId="0" xfId="0" applyFill="1"/>
    <xf numFmtId="0" fontId="0" fillId="192" borderId="0" xfId="0" applyFill="1"/>
    <xf numFmtId="0" fontId="0" fillId="193" borderId="0" xfId="0" applyFill="1"/>
    <xf numFmtId="0" fontId="0" fillId="194" borderId="0" xfId="0" applyFill="1"/>
    <xf numFmtId="0" fontId="0" fillId="195" borderId="0" xfId="0" applyFill="1"/>
    <xf numFmtId="0" fontId="0" fillId="196" borderId="0" xfId="0" applyFill="1"/>
    <xf numFmtId="0" fontId="0" fillId="197" borderId="0" xfId="0" applyFill="1"/>
    <xf numFmtId="0" fontId="0" fillId="198" borderId="0" xfId="0" applyFill="1"/>
    <xf numFmtId="0" fontId="0" fillId="199" borderId="0" xfId="0" applyFill="1"/>
    <xf numFmtId="0" fontId="0" fillId="200" borderId="0" xfId="0" applyFill="1"/>
    <xf numFmtId="0" fontId="0" fillId="201" borderId="0" xfId="0" applyFill="1"/>
    <xf numFmtId="0" fontId="0" fillId="202" borderId="0" xfId="0" applyFill="1"/>
    <xf numFmtId="0" fontId="0" fillId="203" borderId="0" xfId="0" applyFill="1"/>
    <xf numFmtId="0" fontId="0" fillId="204" borderId="0" xfId="0" applyFill="1"/>
    <xf numFmtId="0" fontId="0" fillId="205" borderId="0" xfId="0" applyFill="1"/>
    <xf numFmtId="0" fontId="0" fillId="206" borderId="0" xfId="0" applyFill="1"/>
    <xf numFmtId="0" fontId="0" fillId="207" borderId="0" xfId="0" applyFill="1"/>
    <xf numFmtId="0" fontId="0" fillId="208" borderId="0" xfId="0" applyFill="1"/>
    <xf numFmtId="0" fontId="0" fillId="209" borderId="0" xfId="0" applyFill="1"/>
    <xf numFmtId="0" fontId="0" fillId="210" borderId="0" xfId="0" applyFill="1"/>
    <xf numFmtId="0" fontId="0" fillId="211" borderId="0" xfId="0" applyFill="1"/>
    <xf numFmtId="0" fontId="0" fillId="212" borderId="0" xfId="0" applyFill="1"/>
    <xf numFmtId="0" fontId="0" fillId="213" borderId="0" xfId="0" applyFill="1"/>
    <xf numFmtId="0" fontId="0" fillId="214" borderId="0" xfId="0" applyFill="1"/>
    <xf numFmtId="0" fontId="0" fillId="215" borderId="0" xfId="0" applyFill="1"/>
    <xf numFmtId="0" fontId="0" fillId="216" borderId="0" xfId="0" applyFill="1"/>
    <xf numFmtId="0" fontId="0" fillId="217" borderId="0" xfId="0" applyFill="1"/>
    <xf numFmtId="0" fontId="0" fillId="218" borderId="0" xfId="0" applyFill="1"/>
    <xf numFmtId="0" fontId="0" fillId="219" borderId="0" xfId="0" applyFill="1"/>
    <xf numFmtId="0" fontId="0" fillId="220" borderId="0" xfId="0" applyFill="1"/>
    <xf numFmtId="0" fontId="0" fillId="221" borderId="0" xfId="0" applyFill="1"/>
    <xf numFmtId="0" fontId="0" fillId="222" borderId="0" xfId="0" applyFill="1"/>
    <xf numFmtId="0" fontId="0" fillId="223" borderId="0" xfId="0" applyFill="1"/>
    <xf numFmtId="0" fontId="0" fillId="224" borderId="0" xfId="0" applyFill="1"/>
    <xf numFmtId="0" fontId="0" fillId="225" borderId="0" xfId="0" applyFill="1"/>
    <xf numFmtId="0" fontId="0" fillId="226" borderId="0" xfId="0" applyFill="1"/>
    <xf numFmtId="0" fontId="0" fillId="227" borderId="0" xfId="0" applyFill="1"/>
    <xf numFmtId="0" fontId="0" fillId="228" borderId="0" xfId="0" applyFill="1"/>
    <xf numFmtId="0" fontId="0" fillId="229" borderId="0" xfId="0" applyFill="1"/>
    <xf numFmtId="0" fontId="0" fillId="230" borderId="0" xfId="0" applyFill="1"/>
    <xf numFmtId="0" fontId="0" fillId="231" borderId="0" xfId="0" applyFill="1"/>
    <xf numFmtId="0" fontId="0" fillId="232" borderId="0" xfId="0" applyFill="1"/>
    <xf numFmtId="0" fontId="0" fillId="233" borderId="0" xfId="0" applyFill="1"/>
    <xf numFmtId="0" fontId="0" fillId="234" borderId="0" xfId="0" applyFill="1"/>
    <xf numFmtId="0" fontId="0" fillId="235" borderId="0" xfId="0" applyFill="1"/>
    <xf numFmtId="0" fontId="0" fillId="236" borderId="0" xfId="0" applyFill="1"/>
    <xf numFmtId="0" fontId="0" fillId="237" borderId="0" xfId="0" applyFill="1"/>
    <xf numFmtId="0" fontId="0" fillId="238" borderId="0" xfId="0" applyFill="1"/>
    <xf numFmtId="0" fontId="0" fillId="239" borderId="0" xfId="0" applyFill="1"/>
    <xf numFmtId="0" fontId="0" fillId="240" borderId="0" xfId="0" applyFill="1"/>
    <xf numFmtId="0" fontId="0" fillId="241" borderId="0" xfId="0" applyFill="1"/>
    <xf numFmtId="0" fontId="0" fillId="242" borderId="0" xfId="0" applyFill="1"/>
    <xf numFmtId="0" fontId="0" fillId="243" borderId="0" xfId="0" applyFill="1"/>
    <xf numFmtId="0" fontId="0" fillId="244" borderId="0" xfId="0" applyFill="1"/>
    <xf numFmtId="0" fontId="0" fillId="245" borderId="0" xfId="0" applyFill="1"/>
    <xf numFmtId="0" fontId="0" fillId="246" borderId="0" xfId="0" applyFill="1"/>
    <xf numFmtId="0" fontId="0" fillId="247" borderId="0" xfId="0" applyFill="1"/>
    <xf numFmtId="0" fontId="0" fillId="248" borderId="0" xfId="0" applyFill="1"/>
    <xf numFmtId="0" fontId="0" fillId="249" borderId="0" xfId="0" applyFill="1"/>
    <xf numFmtId="0" fontId="0" fillId="250" borderId="0" xfId="0" applyFill="1"/>
    <xf numFmtId="0" fontId="0" fillId="251" borderId="0" xfId="0" applyFill="1"/>
    <xf numFmtId="0" fontId="0" fillId="252" borderId="0" xfId="0" applyFill="1"/>
    <xf numFmtId="0" fontId="0" fillId="253" borderId="0" xfId="0" applyFill="1"/>
    <xf numFmtId="0" fontId="0" fillId="254" borderId="0" xfId="0" applyFill="1"/>
    <xf numFmtId="0" fontId="0" fillId="255" borderId="0" xfId="0" applyFill="1"/>
    <xf numFmtId="0" fontId="0" fillId="256" borderId="0" xfId="0" applyFill="1"/>
    <xf numFmtId="0" fontId="0" fillId="257" borderId="0" xfId="0" applyFill="1"/>
    <xf numFmtId="0" fontId="0" fillId="258" borderId="0" xfId="0" applyFill="1"/>
    <xf numFmtId="0" fontId="0" fillId="259" borderId="0" xfId="0" applyFill="1"/>
    <xf numFmtId="0" fontId="0" fillId="260" borderId="0" xfId="0" applyFill="1"/>
    <xf numFmtId="0" fontId="0" fillId="261" borderId="0" xfId="0" applyFill="1"/>
    <xf numFmtId="0" fontId="0" fillId="262" borderId="0" xfId="0" applyFill="1"/>
    <xf numFmtId="0" fontId="0" fillId="263" borderId="0" xfId="0" applyFill="1"/>
    <xf numFmtId="0" fontId="0" fillId="264" borderId="0" xfId="0" applyFill="1"/>
    <xf numFmtId="0" fontId="0" fillId="265" borderId="0" xfId="0" applyFill="1"/>
    <xf numFmtId="0" fontId="0" fillId="266" borderId="0" xfId="0" applyFill="1"/>
    <xf numFmtId="0" fontId="0" fillId="267" borderId="0" xfId="0" applyFill="1"/>
    <xf numFmtId="0" fontId="0" fillId="268" borderId="0" xfId="0" applyFill="1"/>
    <xf numFmtId="0" fontId="0" fillId="269" borderId="0" xfId="0" applyFill="1"/>
    <xf numFmtId="0" fontId="0" fillId="270" borderId="0" xfId="0" applyFill="1"/>
    <xf numFmtId="0" fontId="0" fillId="271" borderId="0" xfId="0" applyFill="1"/>
    <xf numFmtId="0" fontId="0" fillId="272" borderId="0" xfId="0" applyFill="1"/>
    <xf numFmtId="0" fontId="0" fillId="273" borderId="0" xfId="0" applyFill="1"/>
    <xf numFmtId="0" fontId="0" fillId="274" borderId="0" xfId="0" applyFill="1"/>
    <xf numFmtId="0" fontId="0" fillId="275" borderId="0" xfId="0" applyFill="1"/>
    <xf numFmtId="0" fontId="0" fillId="276" borderId="0" xfId="0" applyFill="1"/>
    <xf numFmtId="0" fontId="0" fillId="277" borderId="0" xfId="0" applyFill="1"/>
    <xf numFmtId="0" fontId="0" fillId="278" borderId="0" xfId="0" applyFill="1"/>
    <xf numFmtId="0" fontId="0" fillId="279" borderId="0" xfId="0" applyFill="1"/>
    <xf numFmtId="0" fontId="0" fillId="280" borderId="0" xfId="0" applyFill="1"/>
    <xf numFmtId="0" fontId="0" fillId="281" borderId="0" xfId="0" applyFill="1"/>
    <xf numFmtId="0" fontId="0" fillId="282" borderId="0" xfId="0" applyFill="1"/>
    <xf numFmtId="0" fontId="0" fillId="283" borderId="0" xfId="0" applyFill="1"/>
    <xf numFmtId="0" fontId="0" fillId="284" borderId="0" xfId="0" applyFill="1"/>
    <xf numFmtId="0" fontId="0" fillId="285" borderId="0" xfId="0" applyFill="1"/>
    <xf numFmtId="0" fontId="0" fillId="286" borderId="0" xfId="0" applyFill="1"/>
    <xf numFmtId="0" fontId="0" fillId="287" borderId="0" xfId="0" applyFill="1"/>
    <xf numFmtId="0" fontId="0" fillId="288" borderId="0" xfId="0" applyFill="1"/>
    <xf numFmtId="0" fontId="0" fillId="289" borderId="0" xfId="0" applyFill="1"/>
    <xf numFmtId="0" fontId="0" fillId="290" borderId="0" xfId="0" applyFill="1"/>
    <xf numFmtId="0" fontId="0" fillId="291" borderId="0" xfId="0" applyFill="1"/>
    <xf numFmtId="0" fontId="0" fillId="292" borderId="0" xfId="0" applyFill="1"/>
    <xf numFmtId="0" fontId="0" fillId="293" borderId="0" xfId="0" applyFill="1"/>
    <xf numFmtId="0" fontId="0" fillId="294" borderId="0" xfId="0" applyFill="1"/>
    <xf numFmtId="0" fontId="0" fillId="295" borderId="0" xfId="0" applyFill="1"/>
    <xf numFmtId="0" fontId="0" fillId="296" borderId="0" xfId="0" applyFill="1"/>
    <xf numFmtId="0" fontId="0" fillId="297" borderId="0" xfId="0" applyFill="1"/>
    <xf numFmtId="0" fontId="0" fillId="298" borderId="0" xfId="0" applyFill="1"/>
    <xf numFmtId="0" fontId="0" fillId="299" borderId="0" xfId="0" applyFill="1"/>
    <xf numFmtId="0" fontId="0" fillId="300" borderId="0" xfId="0" applyFill="1"/>
    <xf numFmtId="0" fontId="0" fillId="301" borderId="0" xfId="0" applyFill="1"/>
    <xf numFmtId="0" fontId="0" fillId="302" borderId="0" xfId="0" applyFill="1"/>
    <xf numFmtId="0" fontId="0" fillId="303" borderId="0" xfId="0" applyFill="1"/>
    <xf numFmtId="0" fontId="0" fillId="304" borderId="0" xfId="0" applyFill="1"/>
    <xf numFmtId="0" fontId="0" fillId="305" borderId="0" xfId="0" applyFill="1"/>
    <xf numFmtId="0" fontId="0" fillId="306" borderId="0" xfId="0" applyFill="1"/>
    <xf numFmtId="0" fontId="0" fillId="307" borderId="0" xfId="0" applyFill="1"/>
    <xf numFmtId="0" fontId="0" fillId="308" borderId="0" xfId="0" applyFill="1"/>
    <xf numFmtId="0" fontId="0" fillId="309" borderId="0" xfId="0" applyFill="1"/>
    <xf numFmtId="0" fontId="0" fillId="310" borderId="0" xfId="0" applyFill="1"/>
    <xf numFmtId="0" fontId="0" fillId="311" borderId="0" xfId="0" applyFill="1"/>
    <xf numFmtId="0" fontId="0" fillId="312" borderId="0" xfId="0" applyFill="1"/>
    <xf numFmtId="0" fontId="0" fillId="313" borderId="0" xfId="0" applyFill="1"/>
    <xf numFmtId="0" fontId="0" fillId="314" borderId="0" xfId="0" applyFill="1"/>
    <xf numFmtId="0" fontId="0" fillId="315" borderId="0" xfId="0" applyFill="1"/>
    <xf numFmtId="0" fontId="0" fillId="316" borderId="0" xfId="0" applyFill="1"/>
    <xf numFmtId="0" fontId="0" fillId="317" borderId="0" xfId="0" applyFill="1"/>
    <xf numFmtId="0" fontId="0" fillId="318" borderId="0" xfId="0" applyFill="1"/>
    <xf numFmtId="0" fontId="0" fillId="319" borderId="0" xfId="0" applyFill="1"/>
    <xf numFmtId="0" fontId="0" fillId="320" borderId="0" xfId="0" applyFill="1"/>
    <xf numFmtId="0" fontId="0" fillId="321" borderId="0" xfId="0" applyFill="1"/>
    <xf numFmtId="0" fontId="0" fillId="322" borderId="0" xfId="0" applyFill="1"/>
    <xf numFmtId="0" fontId="0" fillId="323" borderId="0" xfId="0" applyFill="1"/>
    <xf numFmtId="0" fontId="0" fillId="324" borderId="0" xfId="0" applyFill="1"/>
    <xf numFmtId="0" fontId="0" fillId="325" borderId="0" xfId="0" applyFill="1"/>
    <xf numFmtId="0" fontId="0" fillId="326" borderId="0" xfId="0" applyFill="1"/>
    <xf numFmtId="0" fontId="0" fillId="327" borderId="0" xfId="0" applyFill="1"/>
    <xf numFmtId="0" fontId="0" fillId="328" borderId="0" xfId="0" applyFill="1"/>
    <xf numFmtId="0" fontId="0" fillId="329" borderId="0" xfId="0" applyFill="1"/>
    <xf numFmtId="0" fontId="0" fillId="330" borderId="0" xfId="0" applyFill="1"/>
    <xf numFmtId="0" fontId="0" fillId="331" borderId="0" xfId="0" applyFill="1"/>
    <xf numFmtId="0" fontId="0" fillId="332" borderId="0" xfId="0" applyFill="1"/>
    <xf numFmtId="0" fontId="0" fillId="333" borderId="0" xfId="0" applyFill="1"/>
    <xf numFmtId="0" fontId="0" fillId="334" borderId="0" xfId="0" applyFill="1"/>
    <xf numFmtId="0" fontId="0" fillId="335" borderId="0" xfId="0" applyFill="1"/>
    <xf numFmtId="0" fontId="0" fillId="336" borderId="0" xfId="0" applyFill="1"/>
    <xf numFmtId="0" fontId="0" fillId="337" borderId="0" xfId="0" applyFill="1"/>
    <xf numFmtId="0" fontId="0" fillId="338" borderId="0" xfId="0" applyFill="1"/>
    <xf numFmtId="0" fontId="0" fillId="339" borderId="0" xfId="0" applyFill="1"/>
    <xf numFmtId="0" fontId="0" fillId="340" borderId="0" xfId="0" applyFill="1"/>
    <xf numFmtId="0" fontId="0" fillId="341" borderId="0" xfId="0" applyFill="1"/>
    <xf numFmtId="0" fontId="0" fillId="342" borderId="0" xfId="0" applyFill="1"/>
    <xf numFmtId="0" fontId="0" fillId="343" borderId="0" xfId="0" applyFill="1"/>
    <xf numFmtId="0" fontId="0" fillId="344" borderId="0" xfId="0" applyFill="1"/>
    <xf numFmtId="0" fontId="0" fillId="345" borderId="0" xfId="0" applyFill="1"/>
    <xf numFmtId="0" fontId="0" fillId="346" borderId="0" xfId="0" applyFill="1"/>
    <xf numFmtId="0" fontId="0" fillId="347" borderId="0" xfId="0" applyFill="1"/>
    <xf numFmtId="0" fontId="0" fillId="348" borderId="0" xfId="0" applyFill="1"/>
    <xf numFmtId="0" fontId="0" fillId="349" borderId="0" xfId="0" applyFill="1"/>
    <xf numFmtId="0" fontId="0" fillId="350" borderId="0" xfId="0" applyFill="1"/>
    <xf numFmtId="0" fontId="0" fillId="351" borderId="0" xfId="0" applyFill="1"/>
    <xf numFmtId="0" fontId="0" fillId="352" borderId="0" xfId="0" applyFill="1"/>
    <xf numFmtId="0" fontId="0" fillId="353" borderId="0" xfId="0" applyFill="1"/>
    <xf numFmtId="0" fontId="0" fillId="354" borderId="0" xfId="0" applyFill="1"/>
    <xf numFmtId="0" fontId="0" fillId="355" borderId="0" xfId="0" applyFill="1"/>
    <xf numFmtId="0" fontId="0" fillId="356" borderId="0" xfId="0" applyFill="1"/>
    <xf numFmtId="0" fontId="0" fillId="357" borderId="0" xfId="0" applyFill="1"/>
    <xf numFmtId="0" fontId="0" fillId="358" borderId="0" xfId="0" applyFill="1"/>
    <xf numFmtId="0" fontId="0" fillId="359" borderId="0" xfId="0" applyFill="1"/>
    <xf numFmtId="0" fontId="0" fillId="360" borderId="0" xfId="0" applyFill="1"/>
    <xf numFmtId="0" fontId="0" fillId="361" borderId="0" xfId="0" applyFill="1"/>
    <xf numFmtId="0" fontId="0" fillId="362" borderId="0" xfId="0" applyFill="1"/>
    <xf numFmtId="0" fontId="0" fillId="363" borderId="0" xfId="0" applyFill="1"/>
    <xf numFmtId="0" fontId="0" fillId="364" borderId="0" xfId="0" applyFill="1"/>
    <xf numFmtId="0" fontId="0" fillId="365" borderId="0" xfId="0" applyFill="1"/>
    <xf numFmtId="0" fontId="0" fillId="366" borderId="0" xfId="0" applyFill="1"/>
    <xf numFmtId="0" fontId="0" fillId="367" borderId="0" xfId="0" applyFill="1"/>
    <xf numFmtId="0" fontId="0" fillId="368" borderId="0" xfId="0" applyFill="1"/>
    <xf numFmtId="0" fontId="0" fillId="369" borderId="0" xfId="0" applyFill="1"/>
    <xf numFmtId="0" fontId="0" fillId="370" borderId="0" xfId="0" applyFill="1"/>
    <xf numFmtId="0" fontId="0" fillId="371" borderId="0" xfId="0" applyFill="1"/>
    <xf numFmtId="0" fontId="0" fillId="372" borderId="0" xfId="0" applyFill="1"/>
    <xf numFmtId="0" fontId="0" fillId="373" borderId="0" xfId="0" applyFill="1"/>
    <xf numFmtId="0" fontId="0" fillId="374" borderId="0" xfId="0" applyFill="1"/>
    <xf numFmtId="0" fontId="0" fillId="375" borderId="0" xfId="0" applyFill="1"/>
    <xf numFmtId="0" fontId="0" fillId="376" borderId="0" xfId="0" applyFill="1"/>
    <xf numFmtId="0" fontId="0" fillId="377" borderId="0" xfId="0" applyFill="1"/>
    <xf numFmtId="0" fontId="0" fillId="378" borderId="0" xfId="0" applyFill="1"/>
    <xf numFmtId="0" fontId="0" fillId="379" borderId="0" xfId="0" applyFill="1"/>
    <xf numFmtId="0" fontId="0" fillId="380" borderId="0" xfId="0" applyFill="1"/>
    <xf numFmtId="0" fontId="0" fillId="381" borderId="0" xfId="0" applyFill="1"/>
    <xf numFmtId="0" fontId="0" fillId="382" borderId="0" xfId="0" applyFill="1"/>
    <xf numFmtId="0" fontId="0" fillId="383" borderId="0" xfId="0" applyFill="1"/>
    <xf numFmtId="0" fontId="0" fillId="384" borderId="0" xfId="0" applyFill="1"/>
    <xf numFmtId="0" fontId="0" fillId="385" borderId="0" xfId="0" applyFill="1"/>
    <xf numFmtId="0" fontId="0" fillId="386" borderId="0" xfId="0" applyFill="1"/>
    <xf numFmtId="0" fontId="0" fillId="387" borderId="0" xfId="0" applyFill="1"/>
    <xf numFmtId="0" fontId="0" fillId="388" borderId="0" xfId="0" applyFill="1"/>
    <xf numFmtId="0" fontId="0" fillId="389" borderId="0" xfId="0" applyFill="1"/>
    <xf numFmtId="0" fontId="0" fillId="390" borderId="0" xfId="0" applyFill="1"/>
    <xf numFmtId="0" fontId="0" fillId="391" borderId="0" xfId="0" applyFill="1"/>
    <xf numFmtId="0" fontId="0" fillId="392" borderId="0" xfId="0" applyFill="1"/>
    <xf numFmtId="0" fontId="0" fillId="393" borderId="0" xfId="0" applyFill="1"/>
    <xf numFmtId="0" fontId="0" fillId="394" borderId="0" xfId="0" applyFill="1"/>
    <xf numFmtId="0" fontId="0" fillId="395" borderId="0" xfId="0" applyFill="1"/>
    <xf numFmtId="0" fontId="0" fillId="396" borderId="0" xfId="0" applyFill="1"/>
    <xf numFmtId="0" fontId="0" fillId="397" borderId="0" xfId="0" applyFill="1"/>
    <xf numFmtId="0" fontId="0" fillId="398" borderId="0" xfId="0" applyFill="1"/>
    <xf numFmtId="0" fontId="0" fillId="399" borderId="0" xfId="0" applyFill="1"/>
    <xf numFmtId="0" fontId="0" fillId="400" borderId="0" xfId="0" applyFill="1"/>
    <xf numFmtId="0" fontId="0" fillId="401" borderId="0" xfId="0" applyFill="1"/>
    <xf numFmtId="0" fontId="0" fillId="402" borderId="0" xfId="0" applyFill="1"/>
    <xf numFmtId="0" fontId="0" fillId="403" borderId="0" xfId="0" applyFill="1"/>
    <xf numFmtId="0" fontId="0" fillId="404" borderId="0" xfId="0" applyFill="1"/>
    <xf numFmtId="0" fontId="0" fillId="405" borderId="0" xfId="0" applyFill="1"/>
    <xf numFmtId="0" fontId="0" fillId="406" borderId="0" xfId="0" applyFill="1"/>
    <xf numFmtId="0" fontId="0" fillId="407" borderId="0" xfId="0" applyFill="1"/>
    <xf numFmtId="0" fontId="0" fillId="408" borderId="0" xfId="0" applyFill="1"/>
    <xf numFmtId="0" fontId="0" fillId="409" borderId="0" xfId="0" applyFill="1"/>
    <xf numFmtId="0" fontId="0" fillId="410" borderId="0" xfId="0" applyFill="1"/>
    <xf numFmtId="0" fontId="0" fillId="411" borderId="0" xfId="0" applyFill="1"/>
    <xf numFmtId="0" fontId="0" fillId="412" borderId="0" xfId="0" applyFill="1"/>
    <xf numFmtId="0" fontId="0" fillId="413" borderId="0" xfId="0" applyFill="1"/>
    <xf numFmtId="0" fontId="0" fillId="414" borderId="0" xfId="0" applyFill="1"/>
    <xf numFmtId="0" fontId="0" fillId="415" borderId="0" xfId="0" applyFill="1"/>
    <xf numFmtId="0" fontId="0" fillId="416" borderId="0" xfId="0" applyFill="1"/>
    <xf numFmtId="0" fontId="0" fillId="417" borderId="0" xfId="0" applyFill="1"/>
    <xf numFmtId="0" fontId="0" fillId="418" borderId="0" xfId="0" applyFill="1"/>
    <xf numFmtId="0" fontId="0" fillId="419" borderId="0" xfId="0" applyFill="1"/>
    <xf numFmtId="0" fontId="0" fillId="420" borderId="0" xfId="0" applyFill="1"/>
    <xf numFmtId="0" fontId="0" fillId="421" borderId="0" xfId="0" applyFill="1"/>
    <xf numFmtId="0" fontId="0" fillId="422" borderId="0" xfId="0" applyFill="1"/>
    <xf numFmtId="0" fontId="0" fillId="423" borderId="0" xfId="0" applyFill="1"/>
    <xf numFmtId="0" fontId="0" fillId="424" borderId="0" xfId="0" applyFill="1"/>
    <xf numFmtId="0" fontId="0" fillId="425" borderId="0" xfId="0" applyFill="1"/>
    <xf numFmtId="0" fontId="0" fillId="426" borderId="0" xfId="0" applyFill="1"/>
    <xf numFmtId="0" fontId="0" fillId="427" borderId="0" xfId="0" applyFill="1"/>
    <xf numFmtId="0" fontId="0" fillId="428" borderId="0" xfId="0" applyFill="1"/>
    <xf numFmtId="0" fontId="0" fillId="429" borderId="0" xfId="0" applyFill="1"/>
    <xf numFmtId="0" fontId="0" fillId="430" borderId="0" xfId="0" applyFill="1"/>
    <xf numFmtId="0" fontId="0" fillId="431" borderId="0" xfId="0" applyFill="1"/>
    <xf numFmtId="0" fontId="0" fillId="432" borderId="0" xfId="0" applyFill="1"/>
    <xf numFmtId="0" fontId="0" fillId="433" borderId="0" xfId="0" applyFill="1"/>
    <xf numFmtId="0" fontId="0" fillId="434" borderId="0" xfId="0" applyFill="1"/>
    <xf numFmtId="0" fontId="0" fillId="435" borderId="0" xfId="0" applyFill="1"/>
    <xf numFmtId="0" fontId="0" fillId="436" borderId="0" xfId="0" applyFill="1"/>
    <xf numFmtId="0" fontId="0" fillId="437" borderId="0" xfId="0" applyFill="1"/>
    <xf numFmtId="0" fontId="0" fillId="438" borderId="0" xfId="0" applyFill="1"/>
    <xf numFmtId="0" fontId="0" fillId="439" borderId="0" xfId="0" applyFill="1"/>
    <xf numFmtId="0" fontId="0" fillId="440" borderId="0" xfId="0" applyFill="1"/>
    <xf numFmtId="0" fontId="0" fillId="441" borderId="0" xfId="0" applyFill="1"/>
    <xf numFmtId="0" fontId="0" fillId="442" borderId="0" xfId="0" applyFill="1"/>
    <xf numFmtId="0" fontId="0" fillId="443" borderId="0" xfId="0" applyFill="1"/>
    <xf numFmtId="0" fontId="0" fillId="444" borderId="0" xfId="0" applyFill="1"/>
    <xf numFmtId="0" fontId="0" fillId="445" borderId="0" xfId="0" applyFill="1"/>
    <xf numFmtId="0" fontId="0" fillId="446" borderId="0" xfId="0" applyFill="1"/>
    <xf numFmtId="0" fontId="0" fillId="447" borderId="0" xfId="0" applyFill="1"/>
    <xf numFmtId="0" fontId="0" fillId="448" borderId="0" xfId="0" applyFill="1"/>
    <xf numFmtId="0" fontId="0" fillId="449" borderId="0" xfId="0" applyFill="1"/>
    <xf numFmtId="0" fontId="0" fillId="450" borderId="0" xfId="0" applyFill="1"/>
    <xf numFmtId="0" fontId="0" fillId="451" borderId="0" xfId="0" applyFill="1"/>
    <xf numFmtId="0" fontId="0" fillId="452" borderId="0" xfId="0" applyFill="1"/>
    <xf numFmtId="0" fontId="0" fillId="453" borderId="0" xfId="0" applyFill="1"/>
    <xf numFmtId="0" fontId="0" fillId="454" borderId="0" xfId="0" applyFill="1"/>
    <xf numFmtId="0" fontId="0" fillId="455" borderId="0" xfId="0" applyFill="1"/>
    <xf numFmtId="0" fontId="0" fillId="456" borderId="0" xfId="0" applyFill="1"/>
    <xf numFmtId="0" fontId="0" fillId="457" borderId="0" xfId="0" applyFill="1"/>
    <xf numFmtId="0" fontId="0" fillId="458" borderId="0" xfId="0" applyFill="1"/>
    <xf numFmtId="0" fontId="0" fillId="459" borderId="0" xfId="0" applyFill="1"/>
    <xf numFmtId="0" fontId="0" fillId="460" borderId="0" xfId="0" applyFill="1"/>
    <xf numFmtId="0" fontId="0" fillId="461" borderId="0" xfId="0" applyFill="1"/>
    <xf numFmtId="0" fontId="0" fillId="462" borderId="0" xfId="0" applyFill="1"/>
    <xf numFmtId="0" fontId="0" fillId="463" borderId="0" xfId="0" applyFill="1"/>
    <xf numFmtId="0" fontId="0" fillId="464" borderId="0" xfId="0" applyFill="1"/>
    <xf numFmtId="0" fontId="0" fillId="465" borderId="0" xfId="0" applyFill="1"/>
    <xf numFmtId="0" fontId="0" fillId="466" borderId="0" xfId="0" applyFill="1"/>
    <xf numFmtId="0" fontId="0" fillId="467" borderId="0" xfId="0" applyFill="1"/>
    <xf numFmtId="0" fontId="0" fillId="468" borderId="0" xfId="0" applyFill="1"/>
    <xf numFmtId="0" fontId="0" fillId="469" borderId="0" xfId="0" applyFill="1"/>
    <xf numFmtId="0" fontId="0" fillId="470" borderId="0" xfId="0" applyFill="1"/>
    <xf numFmtId="0" fontId="0" fillId="471" borderId="0" xfId="0" applyFill="1"/>
    <xf numFmtId="0" fontId="0" fillId="472" borderId="0" xfId="0" applyFill="1"/>
    <xf numFmtId="0" fontId="0" fillId="473" borderId="0" xfId="0" applyFill="1"/>
    <xf numFmtId="0" fontId="0" fillId="474" borderId="0" xfId="0" applyFill="1"/>
    <xf numFmtId="0" fontId="0" fillId="475" borderId="0" xfId="0" applyFill="1"/>
    <xf numFmtId="0" fontId="0" fillId="476" borderId="0" xfId="0" applyFill="1"/>
    <xf numFmtId="0" fontId="0" fillId="477" borderId="0" xfId="0" applyFill="1"/>
    <xf numFmtId="0" fontId="0" fillId="478" borderId="0" xfId="0" applyFill="1"/>
    <xf numFmtId="0" fontId="0" fillId="479" borderId="0" xfId="0" applyFill="1"/>
    <xf numFmtId="0" fontId="0" fillId="480" borderId="0" xfId="0" applyFill="1"/>
    <xf numFmtId="0" fontId="0" fillId="481" borderId="0" xfId="0" applyFill="1"/>
    <xf numFmtId="0" fontId="0" fillId="482" borderId="0" xfId="0" applyFill="1"/>
    <xf numFmtId="0" fontId="0" fillId="483" borderId="0" xfId="0" applyFill="1"/>
    <xf numFmtId="0" fontId="0" fillId="484" borderId="0" xfId="0" applyFill="1"/>
    <xf numFmtId="0" fontId="0" fillId="485" borderId="0" xfId="0" applyFill="1"/>
    <xf numFmtId="0" fontId="0" fillId="486" borderId="0" xfId="0" applyFill="1"/>
    <xf numFmtId="0" fontId="0" fillId="487" borderId="0" xfId="0" applyFill="1"/>
    <xf numFmtId="0" fontId="0" fillId="488" borderId="0" xfId="0" applyFill="1"/>
    <xf numFmtId="0" fontId="0" fillId="489" borderId="0" xfId="0" applyFill="1"/>
    <xf numFmtId="0" fontId="0" fillId="490" borderId="0" xfId="0" applyFill="1"/>
    <xf numFmtId="0" fontId="0" fillId="491" borderId="0" xfId="0" applyFill="1"/>
    <xf numFmtId="0" fontId="0" fillId="492" borderId="0" xfId="0" applyFill="1"/>
    <xf numFmtId="0" fontId="0" fillId="493" borderId="0" xfId="0" applyFill="1"/>
    <xf numFmtId="0" fontId="0" fillId="494" borderId="0" xfId="0" applyFill="1"/>
    <xf numFmtId="0" fontId="0" fillId="495" borderId="0" xfId="0" applyFill="1"/>
    <xf numFmtId="0" fontId="0" fillId="496" borderId="0" xfId="0" applyFill="1"/>
    <xf numFmtId="0" fontId="0" fillId="497" borderId="0" xfId="0" applyFill="1"/>
    <xf numFmtId="0" fontId="0" fillId="498" borderId="0" xfId="0" applyFill="1"/>
    <xf numFmtId="0" fontId="0" fillId="499" borderId="0" xfId="0" applyFill="1"/>
    <xf numFmtId="0" fontId="0" fillId="500" borderId="0" xfId="0" applyFill="1"/>
    <xf numFmtId="0" fontId="0" fillId="501" borderId="0" xfId="0" applyFill="1"/>
    <xf numFmtId="0" fontId="0" fillId="502" borderId="0" xfId="0" applyFill="1"/>
    <xf numFmtId="0" fontId="0" fillId="503" borderId="0" xfId="0" applyFill="1"/>
    <xf numFmtId="0" fontId="0" fillId="504" borderId="0" xfId="0" applyFill="1"/>
    <xf numFmtId="0" fontId="0" fillId="505" borderId="0" xfId="0" applyFill="1"/>
    <xf numFmtId="0" fontId="0" fillId="506" borderId="0" xfId="0" applyFill="1"/>
    <xf numFmtId="0" fontId="0" fillId="507" borderId="0" xfId="0" applyFill="1"/>
    <xf numFmtId="0" fontId="0" fillId="508" borderId="0" xfId="0" applyFill="1"/>
    <xf numFmtId="0" fontId="0" fillId="509" borderId="0" xfId="0" applyFill="1"/>
    <xf numFmtId="0" fontId="0" fillId="510" borderId="0" xfId="0" applyFill="1"/>
    <xf numFmtId="0" fontId="0" fillId="511" borderId="0" xfId="0" applyFill="1"/>
    <xf numFmtId="0" fontId="0" fillId="512" borderId="0" xfId="0" applyFill="1"/>
    <xf numFmtId="0" fontId="0" fillId="513" borderId="0" xfId="0" applyFill="1"/>
    <xf numFmtId="0" fontId="0" fillId="514" borderId="0" xfId="0" applyFill="1"/>
    <xf numFmtId="0" fontId="0" fillId="515" borderId="0" xfId="0" applyFill="1"/>
    <xf numFmtId="0" fontId="0" fillId="516" borderId="0" xfId="0" applyFill="1"/>
    <xf numFmtId="0" fontId="0" fillId="517" borderId="0" xfId="0" applyFill="1"/>
    <xf numFmtId="0" fontId="0" fillId="518" borderId="0" xfId="0" applyFill="1"/>
    <xf numFmtId="0" fontId="0" fillId="519" borderId="0" xfId="0" applyFill="1"/>
    <xf numFmtId="0" fontId="0" fillId="520" borderId="0" xfId="0" applyFill="1"/>
    <xf numFmtId="0" fontId="0" fillId="521" borderId="0" xfId="0" applyFill="1"/>
    <xf numFmtId="0" fontId="0" fillId="522" borderId="0" xfId="0" applyFill="1"/>
    <xf numFmtId="0" fontId="0" fillId="523" borderId="0" xfId="0" applyFill="1"/>
    <xf numFmtId="0" fontId="0" fillId="524" borderId="0" xfId="0" applyFill="1"/>
    <xf numFmtId="0" fontId="0" fillId="525" borderId="0" xfId="0" applyFill="1"/>
    <xf numFmtId="0" fontId="0" fillId="526" borderId="0" xfId="0" applyFill="1"/>
    <xf numFmtId="0" fontId="0" fillId="527" borderId="0" xfId="0" applyFill="1"/>
    <xf numFmtId="0" fontId="0" fillId="528" borderId="0" xfId="0" applyFill="1"/>
    <xf numFmtId="0" fontId="0" fillId="529" borderId="0" xfId="0" applyFill="1"/>
    <xf numFmtId="0" fontId="0" fillId="530" borderId="0" xfId="0" applyFill="1"/>
    <xf numFmtId="0" fontId="0" fillId="531" borderId="0" xfId="0" applyFill="1"/>
    <xf numFmtId="0" fontId="0" fillId="532" borderId="0" xfId="0" applyFill="1"/>
    <xf numFmtId="0" fontId="0" fillId="533" borderId="0" xfId="0" applyFill="1"/>
    <xf numFmtId="0" fontId="0" fillId="534" borderId="0" xfId="0" applyFill="1"/>
    <xf numFmtId="0" fontId="0" fillId="535" borderId="0" xfId="0" applyFill="1"/>
    <xf numFmtId="0" fontId="0" fillId="536" borderId="0" xfId="0" applyFill="1"/>
    <xf numFmtId="0" fontId="0" fillId="537" borderId="0" xfId="0" applyFill="1"/>
    <xf numFmtId="0" fontId="0" fillId="538" borderId="0" xfId="0" applyFill="1"/>
    <xf numFmtId="0" fontId="0" fillId="539" borderId="0" xfId="0" applyFill="1"/>
    <xf numFmtId="0" fontId="0" fillId="540" borderId="0" xfId="0" applyFill="1"/>
    <xf numFmtId="0" fontId="0" fillId="541" borderId="0" xfId="0" applyFill="1"/>
    <xf numFmtId="0" fontId="0" fillId="542" borderId="0" xfId="0" applyFill="1"/>
    <xf numFmtId="0" fontId="0" fillId="543" borderId="0" xfId="0" applyFill="1"/>
    <xf numFmtId="0" fontId="0" fillId="544" borderId="0" xfId="0" applyFill="1"/>
    <xf numFmtId="0" fontId="0" fillId="545" borderId="0" xfId="0" applyFill="1"/>
    <xf numFmtId="0" fontId="0" fillId="546" borderId="0" xfId="0" applyFill="1"/>
    <xf numFmtId="0" fontId="0" fillId="547" borderId="0" xfId="0" applyFill="1"/>
    <xf numFmtId="0" fontId="0" fillId="548" borderId="0" xfId="0" applyFill="1"/>
    <xf numFmtId="0" fontId="0" fillId="549" borderId="0" xfId="0" applyFill="1"/>
    <xf numFmtId="0" fontId="0" fillId="550" borderId="0" xfId="0" applyFill="1"/>
    <xf numFmtId="0" fontId="0" fillId="551" borderId="0" xfId="0" applyFill="1"/>
    <xf numFmtId="0" fontId="0" fillId="552" borderId="0" xfId="0" applyFill="1"/>
    <xf numFmtId="0" fontId="0" fillId="553" borderId="0" xfId="0" applyFill="1"/>
    <xf numFmtId="0" fontId="0" fillId="554" borderId="0" xfId="0" applyFill="1"/>
    <xf numFmtId="0" fontId="0" fillId="555" borderId="0" xfId="0" applyFill="1"/>
    <xf numFmtId="0" fontId="0" fillId="556" borderId="0" xfId="0" applyFill="1"/>
    <xf numFmtId="0" fontId="0" fillId="557" borderId="0" xfId="0" applyFill="1"/>
    <xf numFmtId="0" fontId="0" fillId="558" borderId="0" xfId="0" applyFill="1"/>
    <xf numFmtId="0" fontId="0" fillId="559" borderId="0" xfId="0" applyFill="1"/>
    <xf numFmtId="0" fontId="0" fillId="560" borderId="0" xfId="0" applyFill="1"/>
    <xf numFmtId="0" fontId="0" fillId="561" borderId="0" xfId="0" applyFill="1"/>
    <xf numFmtId="0" fontId="0" fillId="562" borderId="0" xfId="0" applyFill="1"/>
    <xf numFmtId="0" fontId="0" fillId="563" borderId="0" xfId="0" applyFill="1"/>
    <xf numFmtId="0" fontId="0" fillId="564" borderId="0" xfId="0" applyFill="1"/>
    <xf numFmtId="0" fontId="0" fillId="565" borderId="0" xfId="0" applyFill="1"/>
    <xf numFmtId="0" fontId="0" fillId="566" borderId="0" xfId="0" applyFill="1"/>
    <xf numFmtId="0" fontId="0" fillId="567" borderId="0" xfId="0" applyFill="1"/>
    <xf numFmtId="0" fontId="0" fillId="568" borderId="0" xfId="0" applyFill="1"/>
    <xf numFmtId="0" fontId="0" fillId="569" borderId="0" xfId="0" applyFill="1"/>
    <xf numFmtId="0" fontId="0" fillId="570" borderId="0" xfId="0" applyFill="1"/>
    <xf numFmtId="0" fontId="0" fillId="571" borderId="0" xfId="0" applyFill="1"/>
    <xf numFmtId="0" fontId="0" fillId="572" borderId="0" xfId="0" applyFill="1"/>
    <xf numFmtId="0" fontId="0" fillId="573" borderId="0" xfId="0" applyFill="1"/>
    <xf numFmtId="0" fontId="0" fillId="574" borderId="0" xfId="0" applyFill="1"/>
    <xf numFmtId="0" fontId="0" fillId="575" borderId="0" xfId="0" applyFill="1"/>
    <xf numFmtId="0" fontId="0" fillId="576" borderId="0" xfId="0" applyFill="1"/>
    <xf numFmtId="0" fontId="0" fillId="577" borderId="0" xfId="0" applyFill="1"/>
    <xf numFmtId="0" fontId="0" fillId="578" borderId="0" xfId="0" applyFill="1"/>
    <xf numFmtId="0" fontId="0" fillId="579" borderId="0" xfId="0" applyFill="1"/>
    <xf numFmtId="0" fontId="0" fillId="580" borderId="0" xfId="0" applyFill="1"/>
    <xf numFmtId="0" fontId="0" fillId="581" borderId="0" xfId="0" applyFill="1"/>
    <xf numFmtId="0" fontId="0" fillId="582" borderId="0" xfId="0" applyFill="1"/>
    <xf numFmtId="0" fontId="0" fillId="583" borderId="0" xfId="0" applyFill="1"/>
    <xf numFmtId="0" fontId="0" fillId="584" borderId="0" xfId="0" applyFill="1"/>
    <xf numFmtId="0" fontId="0" fillId="585" borderId="0" xfId="0" applyFill="1"/>
    <xf numFmtId="0" fontId="0" fillId="586" borderId="0" xfId="0" applyFill="1"/>
    <xf numFmtId="0" fontId="0" fillId="587" borderId="0" xfId="0" applyFill="1"/>
    <xf numFmtId="0" fontId="0" fillId="588" borderId="0" xfId="0" applyFill="1"/>
    <xf numFmtId="0" fontId="0" fillId="589" borderId="0" xfId="0" applyFill="1"/>
    <xf numFmtId="0" fontId="0" fillId="590" borderId="0" xfId="0" applyFill="1"/>
    <xf numFmtId="0" fontId="0" fillId="591" borderId="0" xfId="0" applyFill="1"/>
    <xf numFmtId="0" fontId="0" fillId="592" borderId="0" xfId="0" applyFill="1"/>
    <xf numFmtId="0" fontId="0" fillId="593" borderId="0" xfId="0" applyFill="1"/>
    <xf numFmtId="0" fontId="0" fillId="594" borderId="0" xfId="0" applyFill="1"/>
    <xf numFmtId="0" fontId="0" fillId="595" borderId="0" xfId="0" applyFill="1"/>
    <xf numFmtId="0" fontId="0" fillId="596" borderId="0" xfId="0" applyFill="1"/>
    <xf numFmtId="0" fontId="0" fillId="597" borderId="0" xfId="0" applyFill="1"/>
    <xf numFmtId="0" fontId="0" fillId="598" borderId="0" xfId="0" applyFill="1"/>
    <xf numFmtId="0" fontId="0" fillId="599" borderId="0" xfId="0" applyFill="1"/>
    <xf numFmtId="0" fontId="0" fillId="600" borderId="0" xfId="0" applyFill="1"/>
    <xf numFmtId="0" fontId="0" fillId="601" borderId="0" xfId="0" applyFill="1"/>
    <xf numFmtId="0" fontId="0" fillId="602" borderId="0" xfId="0" applyFill="1"/>
    <xf numFmtId="0" fontId="0" fillId="603" borderId="0" xfId="0" applyFill="1"/>
    <xf numFmtId="0" fontId="0" fillId="604" borderId="0" xfId="0" applyFill="1"/>
    <xf numFmtId="0" fontId="0" fillId="605" borderId="0" xfId="0" applyFill="1"/>
    <xf numFmtId="0" fontId="0" fillId="606" borderId="0" xfId="0" applyFill="1"/>
    <xf numFmtId="0" fontId="0" fillId="607" borderId="0" xfId="0" applyFill="1"/>
    <xf numFmtId="0" fontId="0" fillId="608" borderId="0" xfId="0" applyFill="1"/>
    <xf numFmtId="0" fontId="0" fillId="609" borderId="0" xfId="0" applyFill="1"/>
    <xf numFmtId="0" fontId="0" fillId="610" borderId="0" xfId="0" applyFill="1"/>
    <xf numFmtId="0" fontId="0" fillId="611" borderId="0" xfId="0" applyFill="1"/>
    <xf numFmtId="0" fontId="0" fillId="612" borderId="0" xfId="0" applyFill="1"/>
    <xf numFmtId="0" fontId="0" fillId="613" borderId="0" xfId="0" applyFill="1"/>
    <xf numFmtId="0" fontId="0" fillId="614" borderId="0" xfId="0" applyFill="1"/>
    <xf numFmtId="0" fontId="0" fillId="615" borderId="0" xfId="0" applyFill="1"/>
    <xf numFmtId="0" fontId="0" fillId="616" borderId="0" xfId="0" applyFill="1"/>
    <xf numFmtId="0" fontId="0" fillId="617" borderId="0" xfId="0" applyFill="1"/>
    <xf numFmtId="0" fontId="0" fillId="618" borderId="0" xfId="0" applyFill="1"/>
    <xf numFmtId="0" fontId="0" fillId="619" borderId="0" xfId="0" applyFill="1"/>
    <xf numFmtId="0" fontId="0" fillId="620" borderId="0" xfId="0" applyFill="1"/>
    <xf numFmtId="0" fontId="0" fillId="621" borderId="0" xfId="0" applyFill="1"/>
    <xf numFmtId="0" fontId="0" fillId="622" borderId="0" xfId="0" applyFill="1"/>
    <xf numFmtId="0" fontId="0" fillId="623" borderId="0" xfId="0" applyFill="1"/>
    <xf numFmtId="0" fontId="0" fillId="624" borderId="0" xfId="0" applyFill="1"/>
    <xf numFmtId="0" fontId="0" fillId="625" borderId="0" xfId="0" applyFill="1"/>
    <xf numFmtId="0" fontId="0" fillId="626" borderId="0" xfId="0" applyFill="1"/>
    <xf numFmtId="0" fontId="0" fillId="627" borderId="0" xfId="0" applyFill="1"/>
    <xf numFmtId="0" fontId="0" fillId="628" borderId="0" xfId="0" applyFill="1"/>
    <xf numFmtId="0" fontId="0" fillId="629" borderId="0" xfId="0" applyFill="1"/>
    <xf numFmtId="0" fontId="0" fillId="630" borderId="0" xfId="0" applyFill="1"/>
    <xf numFmtId="0" fontId="0" fillId="631" borderId="0" xfId="0" applyFill="1"/>
    <xf numFmtId="0" fontId="0" fillId="632" borderId="0" xfId="0" applyFill="1"/>
    <xf numFmtId="0" fontId="0" fillId="633" borderId="0" xfId="0" applyFill="1"/>
    <xf numFmtId="0" fontId="0" fillId="634" borderId="0" xfId="0" applyFill="1"/>
    <xf numFmtId="0" fontId="0" fillId="635" borderId="0" xfId="0" applyFill="1"/>
    <xf numFmtId="0" fontId="0" fillId="636" borderId="0" xfId="0" applyFill="1"/>
    <xf numFmtId="0" fontId="0" fillId="637" borderId="0" xfId="0" applyFill="1"/>
    <xf numFmtId="0" fontId="0" fillId="638" borderId="0" xfId="0" applyFill="1"/>
    <xf numFmtId="0" fontId="0" fillId="639" borderId="0" xfId="0" applyFill="1"/>
    <xf numFmtId="0" fontId="0" fillId="640" borderId="0" xfId="0" applyFill="1"/>
    <xf numFmtId="0" fontId="0" fillId="641" borderId="0" xfId="0" applyFill="1"/>
    <xf numFmtId="0" fontId="0" fillId="642" borderId="0" xfId="0" applyFill="1"/>
    <xf numFmtId="0" fontId="0" fillId="643" borderId="0" xfId="0" applyFill="1"/>
    <xf numFmtId="0" fontId="0" fillId="644" borderId="0" xfId="0" applyFill="1"/>
    <xf numFmtId="0" fontId="0" fillId="645" borderId="0" xfId="0" applyFill="1"/>
    <xf numFmtId="0" fontId="0" fillId="646" borderId="0" xfId="0" applyFill="1"/>
    <xf numFmtId="0" fontId="0" fillId="647" borderId="0" xfId="0" applyFill="1"/>
    <xf numFmtId="0" fontId="0" fillId="648" borderId="0" xfId="0" applyFill="1"/>
    <xf numFmtId="0" fontId="0" fillId="649" borderId="0" xfId="0" applyFill="1"/>
    <xf numFmtId="0" fontId="0" fillId="650" borderId="0" xfId="0" applyFill="1"/>
    <xf numFmtId="0" fontId="0" fillId="651" borderId="0" xfId="0" applyFill="1"/>
    <xf numFmtId="0" fontId="0" fillId="652" borderId="0" xfId="0" applyFill="1"/>
    <xf numFmtId="0" fontId="0" fillId="653" borderId="0" xfId="0" applyFill="1"/>
    <xf numFmtId="0" fontId="0" fillId="654" borderId="0" xfId="0" applyFill="1"/>
    <xf numFmtId="0" fontId="0" fillId="655" borderId="0" xfId="0" applyFill="1"/>
    <xf numFmtId="0" fontId="0" fillId="656" borderId="0" xfId="0" applyFill="1"/>
    <xf numFmtId="0" fontId="0" fillId="657" borderId="0" xfId="0" applyFill="1"/>
    <xf numFmtId="0" fontId="0" fillId="658" borderId="0" xfId="0" applyFill="1"/>
    <xf numFmtId="0" fontId="0" fillId="659" borderId="0" xfId="0" applyFill="1"/>
    <xf numFmtId="0" fontId="0" fillId="660" borderId="0" xfId="0" applyFill="1"/>
    <xf numFmtId="0" fontId="0" fillId="661" borderId="0" xfId="0" applyFill="1"/>
    <xf numFmtId="0" fontId="0" fillId="662" borderId="0" xfId="0" applyFill="1"/>
    <xf numFmtId="0" fontId="0" fillId="663" borderId="0" xfId="0" applyFill="1"/>
    <xf numFmtId="0" fontId="0" fillId="664" borderId="0" xfId="0" applyFill="1"/>
    <xf numFmtId="0" fontId="0" fillId="665" borderId="0" xfId="0" applyFill="1"/>
    <xf numFmtId="0" fontId="0" fillId="666" borderId="0" xfId="0" applyFill="1"/>
    <xf numFmtId="0" fontId="0" fillId="667" borderId="0" xfId="0" applyFill="1"/>
    <xf numFmtId="0" fontId="0" fillId="668" borderId="0" xfId="0" applyFill="1"/>
    <xf numFmtId="0" fontId="0" fillId="669" borderId="0" xfId="0" applyFill="1"/>
    <xf numFmtId="0" fontId="0" fillId="670" borderId="0" xfId="0" applyFill="1"/>
    <xf numFmtId="0" fontId="0" fillId="671" borderId="0" xfId="0" applyFill="1"/>
    <xf numFmtId="0" fontId="0" fillId="672" borderId="0" xfId="0" applyFill="1"/>
    <xf numFmtId="0" fontId="0" fillId="673" borderId="0" xfId="0" applyFill="1"/>
    <xf numFmtId="0" fontId="0" fillId="674" borderId="0" xfId="0" applyFill="1"/>
    <xf numFmtId="0" fontId="0" fillId="675" borderId="0" xfId="0" applyFill="1"/>
    <xf numFmtId="0" fontId="0" fillId="676" borderId="0" xfId="0" applyFill="1"/>
    <xf numFmtId="0" fontId="0" fillId="677" borderId="0" xfId="0" applyFill="1"/>
    <xf numFmtId="0" fontId="0" fillId="678" borderId="0" xfId="0" applyFill="1"/>
    <xf numFmtId="0" fontId="0" fillId="679" borderId="0" xfId="0" applyFill="1"/>
    <xf numFmtId="0" fontId="0" fillId="680" borderId="0" xfId="0" applyFill="1"/>
    <xf numFmtId="0" fontId="0" fillId="681" borderId="0" xfId="0" applyFill="1"/>
    <xf numFmtId="0" fontId="0" fillId="682" borderId="0" xfId="0" applyFill="1"/>
    <xf numFmtId="0" fontId="0" fillId="683" borderId="0" xfId="0" applyFill="1"/>
    <xf numFmtId="0" fontId="0" fillId="684" borderId="0" xfId="0" applyFill="1"/>
    <xf numFmtId="0" fontId="0" fillId="685" borderId="0" xfId="0" applyFill="1"/>
    <xf numFmtId="0" fontId="0" fillId="686" borderId="0" xfId="0" applyFill="1"/>
    <xf numFmtId="0" fontId="0" fillId="687" borderId="0" xfId="0" applyFill="1"/>
    <xf numFmtId="0" fontId="0" fillId="688" borderId="0" xfId="0" applyFill="1"/>
    <xf numFmtId="0" fontId="0" fillId="689" borderId="0" xfId="0" applyFill="1"/>
    <xf numFmtId="0" fontId="0" fillId="690" borderId="0" xfId="0" applyFill="1"/>
    <xf numFmtId="0" fontId="0" fillId="691" borderId="0" xfId="0" applyFill="1"/>
    <xf numFmtId="0" fontId="0" fillId="692" borderId="0" xfId="0" applyFill="1"/>
    <xf numFmtId="0" fontId="0" fillId="693" borderId="0" xfId="0" applyFill="1"/>
    <xf numFmtId="0" fontId="0" fillId="694" borderId="0" xfId="0" applyFill="1"/>
    <xf numFmtId="0" fontId="0" fillId="695" borderId="0" xfId="0" applyFill="1"/>
    <xf numFmtId="0" fontId="0" fillId="696" borderId="0" xfId="0" applyFill="1"/>
    <xf numFmtId="0" fontId="0" fillId="697" borderId="0" xfId="0" applyFill="1"/>
    <xf numFmtId="0" fontId="0" fillId="698" borderId="0" xfId="0" applyFill="1"/>
    <xf numFmtId="0" fontId="0" fillId="699" borderId="0" xfId="0" applyFill="1"/>
    <xf numFmtId="0" fontId="0" fillId="700" borderId="0" xfId="0" applyFill="1"/>
    <xf numFmtId="0" fontId="0" fillId="701" borderId="0" xfId="0" applyFill="1"/>
    <xf numFmtId="0" fontId="0" fillId="702" borderId="0" xfId="0" applyFill="1"/>
    <xf numFmtId="0" fontId="0" fillId="703" borderId="0" xfId="0" applyFill="1"/>
    <xf numFmtId="0" fontId="0" fillId="704" borderId="0" xfId="0" applyFill="1"/>
    <xf numFmtId="0" fontId="0" fillId="705" borderId="0" xfId="0" applyFill="1"/>
    <xf numFmtId="0" fontId="0" fillId="706" borderId="0" xfId="0" applyFill="1"/>
    <xf numFmtId="0" fontId="0" fillId="707" borderId="0" xfId="0" applyFill="1"/>
    <xf numFmtId="0" fontId="0" fillId="708" borderId="0" xfId="0" applyFill="1"/>
    <xf numFmtId="0" fontId="0" fillId="709" borderId="0" xfId="0" applyFill="1"/>
    <xf numFmtId="0" fontId="0" fillId="710" borderId="0" xfId="0" applyFill="1"/>
    <xf numFmtId="0" fontId="0" fillId="711" borderId="0" xfId="0" applyFill="1"/>
    <xf numFmtId="0" fontId="0" fillId="712" borderId="0" xfId="0" applyFill="1"/>
    <xf numFmtId="0" fontId="0" fillId="713" borderId="0" xfId="0" applyFill="1"/>
    <xf numFmtId="0" fontId="0" fillId="714" borderId="0" xfId="0" applyFill="1"/>
    <xf numFmtId="0" fontId="0" fillId="715" borderId="0" xfId="0" applyFill="1"/>
    <xf numFmtId="0" fontId="0" fillId="716" borderId="0" xfId="0" applyFill="1"/>
    <xf numFmtId="0" fontId="0" fillId="717" borderId="0" xfId="0" applyFill="1"/>
    <xf numFmtId="0" fontId="0" fillId="718" borderId="0" xfId="0" applyFill="1"/>
    <xf numFmtId="0" fontId="0" fillId="719" borderId="0" xfId="0" applyFill="1"/>
    <xf numFmtId="0" fontId="0" fillId="720" borderId="0" xfId="0" applyFill="1"/>
    <xf numFmtId="0" fontId="0" fillId="721" borderId="0" xfId="0" applyFill="1"/>
    <xf numFmtId="0" fontId="0" fillId="722" borderId="0" xfId="0" applyFill="1"/>
    <xf numFmtId="0" fontId="0" fillId="723" borderId="0" xfId="0" applyFill="1"/>
    <xf numFmtId="0" fontId="0" fillId="724" borderId="0" xfId="0" applyFill="1"/>
    <xf numFmtId="0" fontId="0" fillId="725" borderId="0" xfId="0" applyFill="1"/>
    <xf numFmtId="0" fontId="0" fillId="726" borderId="0" xfId="0" applyFill="1"/>
    <xf numFmtId="0" fontId="0" fillId="727" borderId="0" xfId="0" applyFill="1"/>
    <xf numFmtId="0" fontId="0" fillId="728" borderId="0" xfId="0" applyFill="1"/>
    <xf numFmtId="0" fontId="0" fillId="729" borderId="0" xfId="0" applyFill="1"/>
    <xf numFmtId="0" fontId="0" fillId="730" borderId="0" xfId="0" applyFill="1"/>
    <xf numFmtId="0" fontId="0" fillId="731" borderId="0" xfId="0" applyFill="1"/>
    <xf numFmtId="0" fontId="0" fillId="732" borderId="0" xfId="0" applyFill="1"/>
    <xf numFmtId="0" fontId="0" fillId="733" borderId="0" xfId="0" applyFill="1"/>
    <xf numFmtId="0" fontId="0" fillId="734" borderId="0" xfId="0" applyFill="1"/>
    <xf numFmtId="0" fontId="0" fillId="735" borderId="0" xfId="0" applyFill="1"/>
    <xf numFmtId="0" fontId="0" fillId="736" borderId="0" xfId="0" applyFill="1"/>
    <xf numFmtId="0" fontId="0" fillId="737" borderId="0" xfId="0" applyFill="1"/>
    <xf numFmtId="0" fontId="0" fillId="738" borderId="0" xfId="0" applyFill="1"/>
    <xf numFmtId="0" fontId="0" fillId="739" borderId="0" xfId="0" applyFill="1"/>
    <xf numFmtId="0" fontId="0" fillId="740" borderId="0" xfId="0" applyFill="1"/>
    <xf numFmtId="0" fontId="0" fillId="741" borderId="0" xfId="0" applyFill="1"/>
    <xf numFmtId="0" fontId="0" fillId="742" borderId="0" xfId="0" applyFill="1"/>
    <xf numFmtId="0" fontId="0" fillId="743" borderId="0" xfId="0" applyFill="1"/>
    <xf numFmtId="0" fontId="0" fillId="744" borderId="0" xfId="0" applyFill="1"/>
    <xf numFmtId="0" fontId="0" fillId="745" borderId="0" xfId="0" applyFill="1"/>
    <xf numFmtId="0" fontId="0" fillId="746" borderId="0" xfId="0" applyFill="1"/>
    <xf numFmtId="0" fontId="0" fillId="747" borderId="0" xfId="0" applyFill="1"/>
    <xf numFmtId="0" fontId="0" fillId="748" borderId="0" xfId="0" applyFill="1"/>
    <xf numFmtId="0" fontId="0" fillId="749" borderId="0" xfId="0" applyFill="1"/>
    <xf numFmtId="0" fontId="0" fillId="750" borderId="0" xfId="0" applyFill="1"/>
    <xf numFmtId="0" fontId="0" fillId="751" borderId="0" xfId="0" applyFill="1"/>
    <xf numFmtId="0" fontId="0" fillId="752" borderId="0" xfId="0" applyFill="1"/>
    <xf numFmtId="0" fontId="0" fillId="753" borderId="0" xfId="0" applyFill="1"/>
    <xf numFmtId="0" fontId="0" fillId="754" borderId="0" xfId="0" applyFill="1"/>
    <xf numFmtId="0" fontId="0" fillId="755" borderId="0" xfId="0" applyFill="1"/>
    <xf numFmtId="0" fontId="0" fillId="756" borderId="0" xfId="0" applyFill="1"/>
    <xf numFmtId="0" fontId="0" fillId="757" borderId="0" xfId="0" applyFill="1"/>
    <xf numFmtId="0" fontId="0" fillId="758" borderId="0" xfId="0" applyFill="1"/>
    <xf numFmtId="0" fontId="0" fillId="759" borderId="0" xfId="0" applyFill="1"/>
    <xf numFmtId="0" fontId="0" fillId="760" borderId="0" xfId="0" applyFill="1"/>
    <xf numFmtId="0" fontId="0" fillId="761" borderId="0" xfId="0" applyFill="1"/>
    <xf numFmtId="0" fontId="0" fillId="762" borderId="0" xfId="0" applyFill="1"/>
    <xf numFmtId="0" fontId="0" fillId="763" borderId="0" xfId="0" applyFill="1"/>
    <xf numFmtId="0" fontId="0" fillId="764" borderId="0" xfId="0" applyFill="1"/>
    <xf numFmtId="0" fontId="0" fillId="765" borderId="0" xfId="0" applyFill="1"/>
    <xf numFmtId="0" fontId="0" fillId="766" borderId="0" xfId="0" applyFill="1"/>
    <xf numFmtId="0" fontId="0" fillId="767" borderId="0" xfId="0" applyFill="1"/>
    <xf numFmtId="0" fontId="0" fillId="768" borderId="0" xfId="0" applyFill="1"/>
    <xf numFmtId="0" fontId="0" fillId="769" borderId="0" xfId="0" applyFill="1"/>
    <xf numFmtId="0" fontId="0" fillId="770" borderId="0" xfId="0" applyFill="1"/>
    <xf numFmtId="0" fontId="0" fillId="771" borderId="0" xfId="0" applyFill="1"/>
    <xf numFmtId="0" fontId="0" fillId="772" borderId="0" xfId="0" applyFill="1"/>
    <xf numFmtId="0" fontId="0" fillId="773" borderId="0" xfId="0" applyFill="1"/>
    <xf numFmtId="0" fontId="0" fillId="774" borderId="0" xfId="0" applyFill="1"/>
    <xf numFmtId="0" fontId="0" fillId="775" borderId="0" xfId="0" applyFill="1"/>
    <xf numFmtId="0" fontId="0" fillId="776" borderId="0" xfId="0" applyFill="1"/>
    <xf numFmtId="0" fontId="0" fillId="777" borderId="0" xfId="0" applyFill="1"/>
    <xf numFmtId="0" fontId="0" fillId="778" borderId="0" xfId="0" applyFill="1"/>
    <xf numFmtId="0" fontId="0" fillId="779" borderId="0" xfId="0" applyFill="1"/>
    <xf numFmtId="0" fontId="0" fillId="780" borderId="0" xfId="0" applyFill="1"/>
    <xf numFmtId="0" fontId="0" fillId="781" borderId="0" xfId="0" applyFill="1"/>
    <xf numFmtId="0" fontId="5" fillId="784" borderId="3" xfId="4"/>
    <xf numFmtId="0" fontId="6" fillId="785" borderId="1" xfId="5" applyBorder="1"/>
    <xf numFmtId="0" fontId="4" fillId="783" borderId="2" xfId="3"/>
    <xf numFmtId="0" fontId="3" fillId="782" borderId="0" xfId="2"/>
    <xf numFmtId="0" fontId="3" fillId="782" borderId="2" xfId="2" applyBorder="1"/>
  </cellXfs>
  <cellStyles count="6">
    <cellStyle name="Accent1" xfId="5" builtinId="29"/>
    <cellStyle name="Bad" xfId="2" builtinId="27"/>
    <cellStyle name="Hyperlink" xfId="1" builtinId="8"/>
    <cellStyle name="Input" xfId="3" builtinId="20"/>
    <cellStyle name="Normal" xfId="0" builtinId="0"/>
    <cellStyle name="Output" xfId="4" builtinId="21"/>
  </cellStyles>
  <dxfs count="9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 patternType="solid">
          <fgColor indexed="64"/>
          <bgColor rgb="FF000000"/>
        </patternFill>
      </fill>
    </dxf>
    <dxf>
      <fill>
        <patternFill patternType="solid">
          <fgColor indexed="64"/>
          <bgColor rgb="FF000000"/>
        </patternFill>
      </fill>
    </dxf>
  </dxfs>
  <tableStyles count="0" defaultTableStyle="TableStyleMedium2" defaultPivotStyle="PivotStyleLight16"/>
  <colors>
    <mruColors>
      <color rgb="FF2A7F7F"/>
      <color rgb="FF7F2A7F"/>
      <color rgb="FF7F7F2A"/>
      <color rgb="FF7F2A2A"/>
      <color rgb="FF2A7F2A"/>
      <color rgb="FF2A2A7F"/>
      <color rgb="FF7F2AD4"/>
      <color rgb="FF2A7FD4"/>
      <color rgb="FF2AD47F"/>
      <color rgb="FF7FD42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Primary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spPr>
            <a:ln>
              <a:noFill/>
            </a:ln>
          </c:spPr>
          <c:dPt>
            <c:idx val="0"/>
            <c:bubble3D val="0"/>
            <c:spPr>
              <a:solidFill>
                <a:schemeClr val="accent1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37A7-42EA-842A-156E2535A915}"/>
              </c:ext>
            </c:extLst>
          </c:dPt>
          <c:dPt>
            <c:idx val="1"/>
            <c:bubble3D val="0"/>
            <c:spPr>
              <a:solidFill>
                <a:srgbClr val="FFFF7F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DF04-4B10-B975-7A2C33200E96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DF04-4B10-B975-7A2C33200E96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DF04-4B10-B975-7A2C33200E96}"/>
              </c:ext>
            </c:extLst>
          </c:dPt>
          <c:dPt>
            <c:idx val="4"/>
            <c:bubble3D val="0"/>
            <c:spPr>
              <a:solidFill>
                <a:srgbClr val="FFFF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DF04-4B10-B975-7A2C33200E96}"/>
              </c:ext>
            </c:extLst>
          </c:dPt>
          <c:dPt>
            <c:idx val="5"/>
            <c:bubble3D val="0"/>
            <c:spPr>
              <a:solidFill>
                <a:srgbClr val="7F7FFF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DF04-4B10-B975-7A2C33200E96}"/>
              </c:ext>
            </c:extLst>
          </c:dPt>
          <c:dPt>
            <c:idx val="6"/>
            <c:bubble3D val="0"/>
            <c:spPr>
              <a:solidFill>
                <a:srgbClr val="FF7F7F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DF04-4B10-B975-7A2C33200E96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DF04-4B10-B975-7A2C33200E96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8-DF04-4B10-B975-7A2C33200E96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DF04-4B10-B975-7A2C33200E96}"/>
              </c:ext>
            </c:extLst>
          </c:dPt>
          <c:dPt>
            <c:idx val="10"/>
            <c:bubble3D val="0"/>
            <c:spPr>
              <a:solidFill>
                <a:srgbClr val="FF7F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A-DF04-4B10-B975-7A2C33200E96}"/>
              </c:ext>
            </c:extLst>
          </c:dPt>
          <c:dPt>
            <c:idx val="11"/>
            <c:bubble3D val="0"/>
            <c:spPr>
              <a:solidFill>
                <a:srgbClr val="7F7F7F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DF04-4B10-B975-7A2C33200E96}"/>
              </c:ext>
            </c:extLst>
          </c:dPt>
          <c:dPt>
            <c:idx val="12"/>
            <c:bubble3D val="0"/>
            <c:spPr>
              <a:solidFill>
                <a:srgbClr val="007FFF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DF04-4B10-B975-7A2C33200E96}"/>
              </c:ext>
            </c:extLst>
          </c:dPt>
          <c:dPt>
            <c:idx val="13"/>
            <c:bubble3D val="0"/>
            <c:spPr>
              <a:solidFill>
                <a:srgbClr val="FF007F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DF04-4B10-B975-7A2C33200E96}"/>
              </c:ext>
            </c:extLst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E-DF04-4B10-B975-7A2C33200E96}"/>
              </c:ext>
            </c:extLst>
          </c:dPt>
          <c:dPt>
            <c:idx val="1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DF04-4B10-B975-7A2C33200E96}"/>
              </c:ext>
            </c:extLst>
          </c:dPt>
          <c:dPt>
            <c:idx val="1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1-37A7-42EA-842A-156E2535A915}"/>
              </c:ext>
            </c:extLst>
          </c:dPt>
          <c:dPt>
            <c:idx val="17"/>
            <c:bubble3D val="0"/>
            <c:spPr>
              <a:solidFill>
                <a:srgbClr val="FF00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3-37A7-42EA-842A-156E2535A915}"/>
              </c:ext>
            </c:extLst>
          </c:dPt>
          <c:dPt>
            <c:idx val="18"/>
            <c:bubble3D val="0"/>
            <c:spPr>
              <a:solidFill>
                <a:srgbClr val="007F7F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5-37A7-42EA-842A-156E2535A915}"/>
              </c:ext>
            </c:extLst>
          </c:dPt>
          <c:dPt>
            <c:idx val="19"/>
            <c:bubble3D val="0"/>
            <c:spPr>
              <a:solidFill>
                <a:srgbClr val="7F007F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7-37A7-42EA-842A-156E2535A915}"/>
              </c:ext>
            </c:extLst>
          </c:dPt>
          <c:dPt>
            <c:idx val="20"/>
            <c:bubble3D val="0"/>
            <c:spPr>
              <a:solidFill>
                <a:srgbClr val="7F7F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9-37A7-42EA-842A-156E2535A915}"/>
              </c:ext>
            </c:extLst>
          </c:dPt>
          <c:dPt>
            <c:idx val="21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B-37A7-42EA-842A-156E2535A915}"/>
              </c:ext>
            </c:extLst>
          </c:dPt>
          <c:dPt>
            <c:idx val="22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D-37A7-42EA-842A-156E2535A915}"/>
              </c:ext>
            </c:extLst>
          </c:dPt>
          <c:dPt>
            <c:idx val="23"/>
            <c:bubble3D val="0"/>
            <c:spPr>
              <a:solidFill>
                <a:srgbClr val="00007F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F-37A7-42EA-842A-156E2535A915}"/>
              </c:ext>
            </c:extLst>
          </c:dPt>
          <c:dPt>
            <c:idx val="24"/>
            <c:bubble3D val="0"/>
            <c:spPr>
              <a:solidFill>
                <a:srgbClr val="7F00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1-37A7-42EA-842A-156E2535A915}"/>
              </c:ext>
            </c:extLst>
          </c:dPt>
          <c:dPt>
            <c:idx val="25"/>
            <c:bubble3D val="0"/>
            <c:spPr>
              <a:solidFill>
                <a:srgbClr val="007F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3-37A7-42EA-842A-156E2535A915}"/>
              </c:ext>
            </c:extLst>
          </c:dPt>
          <c:dPt>
            <c:idx val="26"/>
            <c:bubble3D val="0"/>
            <c:spPr>
              <a:solidFill>
                <a:srgbClr val="0000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5-37A7-42EA-842A-156E2535A915}"/>
              </c:ext>
            </c:extLst>
          </c:dPt>
          <c:val>
            <c:numRef>
              <c:f>colorRef!$H$2:$H$28</c:f>
              <c:numCache>
                <c:formatCode>General</c:formatCode>
                <c:ptCount val="27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10</c:v>
                </c:pt>
                <c:pt idx="5">
                  <c:v>4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34</c:v>
                </c:pt>
                <c:pt idx="11">
                  <c:v>9</c:v>
                </c:pt>
                <c:pt idx="12">
                  <c:v>2</c:v>
                </c:pt>
                <c:pt idx="13">
                  <c:v>2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37</c:v>
                </c:pt>
                <c:pt idx="18">
                  <c:v>35</c:v>
                </c:pt>
                <c:pt idx="19">
                  <c:v>28</c:v>
                </c:pt>
                <c:pt idx="20">
                  <c:v>4</c:v>
                </c:pt>
                <c:pt idx="21">
                  <c:v>0</c:v>
                </c:pt>
                <c:pt idx="22">
                  <c:v>0</c:v>
                </c:pt>
                <c:pt idx="23">
                  <c:v>87</c:v>
                </c:pt>
                <c:pt idx="24">
                  <c:v>67</c:v>
                </c:pt>
                <c:pt idx="25">
                  <c:v>20</c:v>
                </c:pt>
                <c:pt idx="26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04-4B10-B975-7A2C33200E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Secondary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spPr>
            <a:ln>
              <a:noFill/>
            </a:ln>
          </c:spPr>
          <c:dPt>
            <c:idx val="0"/>
            <c:bubble3D val="0"/>
            <c:spPr>
              <a:solidFill>
                <a:schemeClr val="bg1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E284-42FA-B93E-86839BA8CFB9}"/>
              </c:ext>
            </c:extLst>
          </c:dPt>
          <c:dPt>
            <c:idx val="1"/>
            <c:bubble3D val="0"/>
            <c:spPr>
              <a:solidFill>
                <a:srgbClr val="FFFF7F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E284-42FA-B93E-86839BA8CFB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E284-42FA-B93E-86839BA8CFB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E284-42FA-B93E-86839BA8CFB9}"/>
              </c:ext>
            </c:extLst>
          </c:dPt>
          <c:dPt>
            <c:idx val="4"/>
            <c:bubble3D val="0"/>
            <c:spPr>
              <a:solidFill>
                <a:srgbClr val="FFFF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E284-42FA-B93E-86839BA8CFB9}"/>
              </c:ext>
            </c:extLst>
          </c:dPt>
          <c:dPt>
            <c:idx val="5"/>
            <c:bubble3D val="0"/>
            <c:spPr>
              <a:solidFill>
                <a:srgbClr val="7FFFFF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E284-42FA-B93E-86839BA8CFB9}"/>
              </c:ext>
            </c:extLst>
          </c:dPt>
          <c:dPt>
            <c:idx val="6"/>
            <c:bubble3D val="0"/>
            <c:spPr>
              <a:solidFill>
                <a:srgbClr val="FF7F7F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E284-42FA-B93E-86839BA8CFB9}"/>
              </c:ext>
            </c:extLst>
          </c:dPt>
          <c:dPt>
            <c:idx val="7"/>
            <c:bubble3D val="0"/>
            <c:spPr>
              <a:solidFill>
                <a:srgbClr val="00FFFF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8-E284-42FA-B93E-86839BA8CFB9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E284-42FA-B93E-86839BA8CFB9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A-E284-42FA-B93E-86839BA8CFB9}"/>
              </c:ext>
            </c:extLst>
          </c:dPt>
          <c:dPt>
            <c:idx val="10"/>
            <c:bubble3D val="0"/>
            <c:spPr>
              <a:solidFill>
                <a:srgbClr val="FF7F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E284-42FA-B93E-86839BA8CFB9}"/>
              </c:ext>
            </c:extLst>
          </c:dPt>
          <c:dPt>
            <c:idx val="11"/>
            <c:bubble3D val="0"/>
            <c:spPr>
              <a:solidFill>
                <a:srgbClr val="7F7F7F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E284-42FA-B93E-86839BA8CFB9}"/>
              </c:ext>
            </c:extLst>
          </c:dPt>
          <c:dPt>
            <c:idx val="12"/>
            <c:bubble3D val="0"/>
            <c:spPr>
              <a:solidFill>
                <a:srgbClr val="007FFF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E284-42FA-B93E-86839BA8CFB9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E-E284-42FA-B93E-86839BA8CFB9}"/>
              </c:ext>
            </c:extLst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E284-42FA-B93E-86839BA8CFB9}"/>
              </c:ext>
            </c:extLst>
          </c:dPt>
          <c:dPt>
            <c:idx val="1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0-E284-42FA-B93E-86839BA8CFB9}"/>
              </c:ext>
            </c:extLst>
          </c:dPt>
          <c:dPt>
            <c:idx val="1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E284-42FA-B93E-86839BA8CFB9}"/>
              </c:ext>
            </c:extLst>
          </c:dPt>
          <c:dPt>
            <c:idx val="17"/>
            <c:bubble3D val="0"/>
            <c:spPr>
              <a:solidFill>
                <a:srgbClr val="FF00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3-E61E-45A6-AEC3-50A58FED55BB}"/>
              </c:ext>
            </c:extLst>
          </c:dPt>
          <c:dPt>
            <c:idx val="18"/>
            <c:bubble3D val="0"/>
            <c:spPr>
              <a:solidFill>
                <a:srgbClr val="007F7F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5-E61E-45A6-AEC3-50A58FED55BB}"/>
              </c:ext>
            </c:extLst>
          </c:dPt>
          <c:dPt>
            <c:idx val="19"/>
            <c:bubble3D val="0"/>
            <c:spPr>
              <a:solidFill>
                <a:srgbClr val="7F007F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7-E61E-45A6-AEC3-50A58FED55BB}"/>
              </c:ext>
            </c:extLst>
          </c:dPt>
          <c:dPt>
            <c:idx val="20"/>
            <c:bubble3D val="0"/>
            <c:spPr>
              <a:solidFill>
                <a:srgbClr val="7F7F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9-E61E-45A6-AEC3-50A58FED55BB}"/>
              </c:ext>
            </c:extLst>
          </c:dPt>
          <c:dPt>
            <c:idx val="21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B-E61E-45A6-AEC3-50A58FED55BB}"/>
              </c:ext>
            </c:extLst>
          </c:dPt>
          <c:dPt>
            <c:idx val="22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D-E61E-45A6-AEC3-50A58FED55BB}"/>
              </c:ext>
            </c:extLst>
          </c:dPt>
          <c:dPt>
            <c:idx val="23"/>
            <c:bubble3D val="0"/>
            <c:spPr>
              <a:solidFill>
                <a:srgbClr val="00007F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F-E61E-45A6-AEC3-50A58FED55BB}"/>
              </c:ext>
            </c:extLst>
          </c:dPt>
          <c:dPt>
            <c:idx val="24"/>
            <c:bubble3D val="0"/>
            <c:spPr>
              <a:solidFill>
                <a:srgbClr val="7F00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1-E61E-45A6-AEC3-50A58FED55BB}"/>
              </c:ext>
            </c:extLst>
          </c:dPt>
          <c:dPt>
            <c:idx val="25"/>
            <c:bubble3D val="0"/>
            <c:spPr>
              <a:solidFill>
                <a:srgbClr val="007F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3-E61E-45A6-AEC3-50A58FED55BB}"/>
              </c:ext>
            </c:extLst>
          </c:dPt>
          <c:dPt>
            <c:idx val="26"/>
            <c:bubble3D val="0"/>
            <c:spPr>
              <a:solidFill>
                <a:srgbClr val="0000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5-E61E-45A6-AEC3-50A58FED55BB}"/>
              </c:ext>
            </c:extLst>
          </c:dPt>
          <c:val>
            <c:numRef>
              <c:f>colorRef!$I$2:$I$28</c:f>
              <c:numCache>
                <c:formatCode>General</c:formatCode>
                <c:ptCount val="27"/>
                <c:pt idx="0">
                  <c:v>52</c:v>
                </c:pt>
                <c:pt idx="1">
                  <c:v>7</c:v>
                </c:pt>
                <c:pt idx="2">
                  <c:v>0</c:v>
                </c:pt>
                <c:pt idx="3">
                  <c:v>0</c:v>
                </c:pt>
                <c:pt idx="4">
                  <c:v>35</c:v>
                </c:pt>
                <c:pt idx="5">
                  <c:v>2</c:v>
                </c:pt>
                <c:pt idx="6">
                  <c:v>12</c:v>
                </c:pt>
                <c:pt idx="7">
                  <c:v>3</c:v>
                </c:pt>
                <c:pt idx="8">
                  <c:v>0</c:v>
                </c:pt>
                <c:pt idx="9">
                  <c:v>0</c:v>
                </c:pt>
                <c:pt idx="10">
                  <c:v>39</c:v>
                </c:pt>
                <c:pt idx="11">
                  <c:v>61</c:v>
                </c:pt>
                <c:pt idx="12">
                  <c:v>4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20</c:v>
                </c:pt>
                <c:pt idx="18">
                  <c:v>9</c:v>
                </c:pt>
                <c:pt idx="19">
                  <c:v>3</c:v>
                </c:pt>
                <c:pt idx="20">
                  <c:v>5</c:v>
                </c:pt>
                <c:pt idx="21">
                  <c:v>0</c:v>
                </c:pt>
                <c:pt idx="22">
                  <c:v>0</c:v>
                </c:pt>
                <c:pt idx="23">
                  <c:v>26</c:v>
                </c:pt>
                <c:pt idx="24">
                  <c:v>19</c:v>
                </c:pt>
                <c:pt idx="25">
                  <c:v>4</c:v>
                </c:pt>
                <c:pt idx="26">
                  <c:v>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284-42FA-B93E-86839BA8CF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59172</xdr:colOff>
      <xdr:row>0</xdr:row>
      <xdr:rowOff>0</xdr:rowOff>
    </xdr:from>
    <xdr:to>
      <xdr:col>16</xdr:col>
      <xdr:colOff>363971</xdr:colOff>
      <xdr:row>14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E6FA9CA-91F4-436F-91B4-1EC6E31EFF8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64727</xdr:colOff>
      <xdr:row>14</xdr:row>
      <xdr:rowOff>23812</xdr:rowOff>
    </xdr:from>
    <xdr:to>
      <xdr:col>16</xdr:col>
      <xdr:colOff>390309</xdr:colOff>
      <xdr:row>28</xdr:row>
      <xdr:rowOff>39398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B6C5468-90DA-4D6F-AA8F-60176011DDD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3BC6AFF-7ECF-46E4-922B-6EB4CDDA0D10}" name="Table4" displayName="Table4" ref="A4:AS358" totalsRowShown="0">
  <autoFilter ref="A4:AS358" xr:uid="{BEF5E899-1D92-486E-A140-AD1C498933AC}"/>
  <sortState xmlns:xlrd2="http://schemas.microsoft.com/office/spreadsheetml/2017/richdata2" ref="A5:AS358">
    <sortCondition ref="AR4:AR358"/>
  </sortState>
  <tableColumns count="45">
    <tableColumn id="1" xr3:uid="{0381AFAB-3B4B-4C30-B5F5-2605FB422771}" name="Team"/>
    <tableColumn id="2" xr3:uid="{60556BB9-FFD9-4B3A-949C-5848133C388D}" name="Red"/>
    <tableColumn id="3" xr3:uid="{54C8D5DE-CCD7-4945-B440-6DC513F3B8E8}" name="Green"/>
    <tableColumn id="4" xr3:uid="{400E0701-8EE5-420E-A134-5A2C8A3C286F}" name="Blue"/>
    <tableColumn id="5" xr3:uid="{A5AEDFAB-236F-42C3-8035-90E528E8420F}" name="Color"/>
    <tableColumn id="6" xr3:uid="{B546C8A7-86C3-4BCD-BD45-8DF6719418C1}" name="Red2"/>
    <tableColumn id="7" xr3:uid="{570B0C7C-7DA9-462F-8C02-4B2F389EA89B}" name="Green2"/>
    <tableColumn id="8" xr3:uid="{7F38797C-FE3F-4F94-9732-1BEEF3D9E6AA}" name="Blue2"/>
    <tableColumn id="9" xr3:uid="{4A718F78-84D5-4DEB-9B1C-11ED03F5660A}" name="Color2"/>
    <tableColumn id="10" xr3:uid="{F510F0D5-F994-4DBD-A8EB-0722E7E79088}" name="Red3"/>
    <tableColumn id="11" xr3:uid="{C15ECDF2-DCBF-4621-ACF3-56EE782E6046}" name="Green3"/>
    <tableColumn id="12" xr3:uid="{503CE04A-40CD-4582-B74A-03AF392A828C}" name="Blue3"/>
    <tableColumn id="13" xr3:uid="{91D3F23E-B363-43ED-BFE9-EF78C4C87D1B}" name="Color3"/>
    <tableColumn id="14" xr3:uid="{3D483B2B-FAF0-4DA2-9CAD-EC25DD350485}" name="Red4"/>
    <tableColumn id="15" xr3:uid="{EF121B07-8378-4628-B4DC-5AF78AFBF268}" name="Green4"/>
    <tableColumn id="16" xr3:uid="{53431DE9-4639-484F-9395-292A5AF47A8D}" name="Blue4"/>
    <tableColumn id="17" xr3:uid="{C456E416-66AB-4E19-8938-9BA409444AAD}" name="Color4"/>
    <tableColumn id="18" xr3:uid="{7F32DC38-6C9A-47C6-A83E-0FD8072FACE6}" name="Red5"/>
    <tableColumn id="19" xr3:uid="{654837BB-9871-4B40-84A7-D6DA0BA634DA}" name="Green5"/>
    <tableColumn id="20" xr3:uid="{1950D401-BE48-4108-9B79-CD98A8613DB8}" name="Blue5"/>
    <tableColumn id="21" xr3:uid="{FE17D53C-3146-4E1D-BA63-3E51684B7AD5}" name="Color5"/>
    <tableColumn id="22" xr3:uid="{30B663BB-C2FB-4DD8-B7E7-F75EB186F74C}" name="Red6"/>
    <tableColumn id="23" xr3:uid="{AB6BB99F-94EB-4121-BE44-E9F049FBE665}" name="Green6"/>
    <tableColumn id="24" xr3:uid="{8EE3FF9F-2EC7-42BE-9041-012EC28D6AC1}" name="Blue6"/>
    <tableColumn id="25" xr3:uid="{51182D9D-331B-4331-883B-5A80CF6A70F4}" name="Color6"/>
    <tableColumn id="26" xr3:uid="{C730F7B1-ADA9-48CE-8016-8FBFD5952E23}" name="Red7">
      <calculatedColumnFormula>ROUND(B5/255*$AA$2,0)*$AC$2/$AA$2</calculatedColumnFormula>
    </tableColumn>
    <tableColumn id="27" xr3:uid="{228CA5D4-D211-416C-B9C3-404614DEE9FA}" name="Green7">
      <calculatedColumnFormula>ROUND(C5/255*$AA$2,0)*$AC$2/$AA$2</calculatedColumnFormula>
    </tableColumn>
    <tableColumn id="28" xr3:uid="{B4A506A5-1876-4096-84A9-DF28BC864BED}" name="Blue7">
      <calculatedColumnFormula>ROUND(D5/255*$AA$2,0)*$AC$2/$AA$2</calculatedColumnFormula>
    </tableColumn>
    <tableColumn id="29" xr3:uid="{DF08FA2B-1699-4AA1-B8A5-DEFF1273D6CE}" name="Color7" dataDxfId="8"/>
    <tableColumn id="30" xr3:uid="{7FAFD24A-D10B-4828-AAF9-B44A4654ADBF}" name="Red8">
      <calculatedColumnFormula>ROUND(F5/255*$AA$2,0)*$AC$2/$AA$2</calculatedColumnFormula>
    </tableColumn>
    <tableColumn id="31" xr3:uid="{FD032BF1-7DE9-4A3E-8368-5F8FFC561000}" name="Green8">
      <calculatedColumnFormula>ROUND(G5/255*$AA$2,0)*$AC$2/$AA$2</calculatedColumnFormula>
    </tableColumn>
    <tableColumn id="32" xr3:uid="{B056C3F8-C005-4A66-AF43-A305668F5B56}" name="Blue8">
      <calculatedColumnFormula>ROUND(H5/255*$AA$2,0)*$AC$2/$AA$2</calculatedColumnFormula>
    </tableColumn>
    <tableColumn id="33" xr3:uid="{27E70FF7-76B3-4355-A203-26C4DBAE4715}" name="Color8" dataDxfId="7"/>
    <tableColumn id="34" xr3:uid="{4BEB40ED-D1A7-4B51-AFD3-4489780D16B6}" name="Red9">
      <calculatedColumnFormula>ROUND(J5/255*$AA$2,0)*$AC$2/$AA$2</calculatedColumnFormula>
    </tableColumn>
    <tableColumn id="35" xr3:uid="{03D6AD4A-1E95-432E-B8A9-D39F4C8D6656}" name="Green9">
      <calculatedColumnFormula>ROUND(K5/255*$AA$2,0)*$AC$2/$AA$2</calculatedColumnFormula>
    </tableColumn>
    <tableColumn id="36" xr3:uid="{2AD3859D-A9F6-425C-944C-217547FF4F9E}" name="Blue9">
      <calculatedColumnFormula>ROUND(L5/255*$AA$2,0)*$AC$2/$AA$2</calculatedColumnFormula>
    </tableColumn>
    <tableColumn id="37" xr3:uid="{F9096032-1364-4502-8EE3-D067E948E0E9}" name="Color9"/>
    <tableColumn id="38" xr3:uid="{4B45044E-EFF2-4864-8AE3-74499BE6D10C}" name="diffPrimary" dataDxfId="6">
      <calculatedColumnFormula>SQRT((2+(($AL$3+Table4[[#This Row],[Red]])/2)/256)*($AL$3-Table4[[#This Row],[Red]])^2 + 4*($AM$3-Table4[[#This Row],[Green]])^2 + (2+(255-(($AL$3+Table4[[#This Row],[Red]])/2))/256 )*($AN$3-Table4[[#This Row],[Blue]])^2)</calculatedColumnFormula>
    </tableColumn>
    <tableColumn id="39" xr3:uid="{F74C1EBE-4C60-4F5A-83D3-A57E39BC1CF7}" name="diffSecondary" dataDxfId="5">
      <calculatedColumnFormula>SQRT((2+(($AO$3+Table4[[#This Row],[Red2]])/2)/256)*($AO$3-Table4[[#This Row],[Red2]])^2 + 4*($AP$3-Table4[[#This Row],[Green2]])^2 + (2+(255-(($AO$3+Table4[[#This Row],[Red2]])/2))/256 )*($AQ$3-Table4[[#This Row],[Blue2]])^2)</calculatedColumnFormula>
    </tableColumn>
    <tableColumn id="40" xr3:uid="{2135F101-2584-4220-BEF1-C62C08A58FFA}" name="MinOrig" dataDxfId="4">
      <calculatedColumnFormula>SQRT(Table4[[#This Row],[diffPrimary]]^2+Table4[[#This Row],[diffSecondary]]^2)</calculatedColumnFormula>
    </tableColumn>
    <tableColumn id="41" xr3:uid="{199D246E-3D6F-42B9-B764-DCAD29C8A5A6}" name="diffPrimary2" dataDxfId="3">
      <calculatedColumnFormula>SQRT((2+(($AL$3+Table4[[#This Row],[Red2]])/2)/256)*($AL$3-Table4[[#This Row],[Red2]])^2 + 4*($AM$3-Table4[[#This Row],[Green2]])^2 + (2+(255-(($AL$3+Table4[[#This Row],[Red2]])/2))/256 )*($AN$3-Table4[[#This Row],[Blue2]])^2)</calculatedColumnFormula>
    </tableColumn>
    <tableColumn id="42" xr3:uid="{8D0B6FE9-1B49-424B-B03D-B554296388C7}" name="diffSecondary2" dataDxfId="2">
      <calculatedColumnFormula>SQRT((2+(($AO$3+Table4[[#This Row],[Red]])/2)/256)*($AO$3-Table4[[#This Row],[Red]])^2 + 4*($AP$3-Table4[[#This Row],[Green]])^2 + (2+(255-(($AO$3+Table4[[#This Row],[Red]])/2))/256 )*($AQ$3-Table4[[#This Row],[Blue]])^2)</calculatedColumnFormula>
    </tableColumn>
    <tableColumn id="43" xr3:uid="{CF8E421C-701A-482C-8A2D-6BACA9BA475F}" name="MinSwap" dataDxfId="1">
      <calculatedColumnFormula>SQRT(Table4[[#This Row],[diffPrimary2]]^2+Table4[[#This Row],[diffSecondary2]]^2)</calculatedColumnFormula>
    </tableColumn>
    <tableColumn id="44" xr3:uid="{C8F1A913-FD79-4EE0-AF42-0483FA9003B7}" name="Min" dataCellStyle="Input">
      <calculatedColumnFormula>MIN(Table4[[#This Row],[MinOrig]],Table4[[#This Row],[MinSwap]])</calculatedColumnFormula>
    </tableColumn>
    <tableColumn id="45" xr3:uid="{8313586A-171F-4F43-AC11-FDFEF4A9E136}" name="Uniqueness" dataDxfId="0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FB41FEF-A72B-4FD6-8D98-D55126A0313C}" name="Table2" displayName="Table2" ref="A1:I28" totalsRowShown="0">
  <autoFilter ref="A1:I28" xr:uid="{8FEBB286-92D8-4B69-A86D-4B123F8C96FC}"/>
  <sortState xmlns:xlrd2="http://schemas.microsoft.com/office/spreadsheetml/2017/richdata2" ref="A2:I28">
    <sortCondition descending="1" ref="G1:G28"/>
  </sortState>
  <tableColumns count="9">
    <tableColumn id="1" xr3:uid="{094A2C7F-B228-4508-8292-64CEFCE2B85B}" name="Colouring"/>
    <tableColumn id="2" xr3:uid="{F51D6607-268F-4D3C-9DA4-2797E1F7D6C2}" name="Color"/>
    <tableColumn id="3" xr3:uid="{E977F837-A141-4A39-BEA4-A29D5C116DD3}" name="Pseudo"/>
    <tableColumn id="4" xr3:uid="{14930547-A0B3-4249-BAF2-16D92CE53794}" name="Red"/>
    <tableColumn id="5" xr3:uid="{703B2452-9D4B-4B9E-859B-672C9017311A}" name="Green"/>
    <tableColumn id="6" xr3:uid="{DD7A31E2-C65A-4B5C-B4C8-6A1C9C887788}" name="Blue"/>
    <tableColumn id="7" xr3:uid="{A39D0052-12DD-45E0-AB8A-BED5EE541D67}" name="Brightness">
      <calculatedColumnFormula>SUM(D2:F2)</calculatedColumnFormula>
    </tableColumn>
    <tableColumn id="9" xr3:uid="{53DC9D29-A146-436F-A0DD-AFA036925A6A}" name="Primary Count"/>
    <tableColumn id="10" xr3:uid="{1D24AF14-1CE8-4C92-B3EE-73B3E621C7E1}" name="Secondary Count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7E6E3E3-82DC-4816-843D-88440E80FF45}" name="Table5" displayName="Table5" ref="A1:J51" totalsRowShown="0">
  <autoFilter ref="A1:J51" xr:uid="{2CAB9F1C-0143-4EBC-B4E9-0BAB91D8B797}"/>
  <sortState xmlns:xlrd2="http://schemas.microsoft.com/office/spreadsheetml/2017/richdata2" ref="A2:J51">
    <sortCondition descending="1" ref="J1:J51"/>
  </sortState>
  <tableColumns count="10">
    <tableColumn id="1" xr3:uid="{01DDEB14-7916-4696-886A-40A844F8AF64}" name="Rp"/>
    <tableColumn id="2" xr3:uid="{F8A718CD-C75D-450A-A0B4-72FA627E16AC}" name="Gp"/>
    <tableColumn id="3" xr3:uid="{6731490F-1BDF-4C14-9B6D-B8849D33E9FD}" name="Bp"/>
    <tableColumn id="4" xr3:uid="{60AF46E5-9487-4C97-85AF-601BFFE56D82}" name="Rs"/>
    <tableColumn id="5" xr3:uid="{E9232E0A-AAED-43F9-8E44-4AB25D626D41}" name="Gs"/>
    <tableColumn id="6" xr3:uid="{1CF2FF99-3573-4DE4-B258-8800084641CD}" name="Bs"/>
    <tableColumn id="7" xr3:uid="{A332DA9F-A796-4534-BC28-A7FF5747AB32}" name="f"/>
    <tableColumn id="8" xr3:uid="{45CD4C28-084E-4A0A-B0B1-FEBE8D30A9BB}" name="Primary"/>
    <tableColumn id="9" xr3:uid="{839ED86B-022E-40EB-9210-675313B56380}" name="Secondary"/>
    <tableColumn id="10" xr3:uid="{BD830723-5433-4752-A09D-B9762476CFCB}" name="Count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colorhexa.com/" TargetMode="External"/><Relationship Id="rId2" Type="http://schemas.openxmlformats.org/officeDocument/2006/relationships/hyperlink" Target="https://teamcolorcodes.com/ncaa-color-codes/" TargetMode="External"/><Relationship Id="rId1" Type="http://schemas.openxmlformats.org/officeDocument/2006/relationships/hyperlink" Target="https://dynasties.operationsports.com/team-colors.php?sport=mlb" TargetMode="External"/><Relationship Id="rId4" Type="http://schemas.openxmlformats.org/officeDocument/2006/relationships/hyperlink" Target="https://www.compuphase.com/cmetric.htm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C1D54F-C5AA-4DE1-A447-3EECD4714006}">
  <sheetPr codeName="Sheet1"/>
  <dimension ref="A1:A4"/>
  <sheetViews>
    <sheetView workbookViewId="0">
      <selection activeCell="A4" sqref="A4"/>
    </sheetView>
  </sheetViews>
  <sheetFormatPr defaultRowHeight="15" x14ac:dyDescent="0.25"/>
  <sheetData>
    <row r="1" spans="1:1" x14ac:dyDescent="0.25">
      <c r="A1" s="1" t="s">
        <v>0</v>
      </c>
    </row>
    <row r="2" spans="1:1" x14ac:dyDescent="0.25">
      <c r="A2" s="1" t="s">
        <v>399</v>
      </c>
    </row>
    <row r="3" spans="1:1" x14ac:dyDescent="0.25">
      <c r="A3" s="1" t="s">
        <v>400</v>
      </c>
    </row>
    <row r="4" spans="1:1" x14ac:dyDescent="0.25">
      <c r="A4" s="1" t="s">
        <v>507</v>
      </c>
    </row>
  </sheetData>
  <hyperlinks>
    <hyperlink ref="A1" r:id="rId1" xr:uid="{A1FA2210-3D40-4BCF-A5A6-C144F00D09F6}"/>
    <hyperlink ref="A2" r:id="rId2" xr:uid="{C187B933-E500-4DFE-A1C5-BAF2B88F1711}"/>
    <hyperlink ref="A3" r:id="rId3" xr:uid="{7BA7F317-2A84-4919-8BB0-4C07D0EEAE6C}"/>
    <hyperlink ref="A4" r:id="rId4" xr:uid="{9D974C13-B221-42E6-8FB7-80B5221A12B4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74C027-0CC3-4D32-8DE7-77D0D986702C}">
  <sheetPr codeName="Sheet7"/>
  <dimension ref="A1:BC358"/>
  <sheetViews>
    <sheetView tabSelected="1" zoomScaleNormal="100" workbookViewId="0">
      <pane xSplit="1" ySplit="4" topLeftCell="B5" activePane="bottomRight" state="frozen"/>
      <selection pane="topRight" activeCell="B1" sqref="B1"/>
      <selection pane="bottomLeft" activeCell="A4" sqref="A4"/>
      <selection pane="bottomRight" activeCell="D2" sqref="D2"/>
    </sheetView>
  </sheetViews>
  <sheetFormatPr defaultRowHeight="15" x14ac:dyDescent="0.25"/>
  <cols>
    <col min="1" max="1" width="35.140625" bestFit="1" customWidth="1"/>
    <col min="2" max="2" width="6.7109375" bestFit="1" customWidth="1"/>
    <col min="3" max="3" width="8.7109375" bestFit="1" customWidth="1"/>
    <col min="4" max="4" width="7.28515625" bestFit="1" customWidth="1"/>
    <col min="5" max="5" width="8" bestFit="1" customWidth="1"/>
    <col min="6" max="6" width="7.7109375" bestFit="1" customWidth="1"/>
    <col min="7" max="7" width="10.140625" bestFit="1" customWidth="1"/>
    <col min="8" max="8" width="8.28515625" bestFit="1" customWidth="1"/>
    <col min="9" max="9" width="9" bestFit="1" customWidth="1"/>
    <col min="10" max="10" width="7.7109375" bestFit="1" customWidth="1"/>
    <col min="11" max="11" width="9.7109375" bestFit="1" customWidth="1"/>
    <col min="12" max="12" width="8.28515625" bestFit="1" customWidth="1"/>
    <col min="13" max="13" width="9" bestFit="1" customWidth="1"/>
    <col min="14" max="14" width="7.7109375" bestFit="1" customWidth="1"/>
    <col min="15" max="15" width="9.7109375" bestFit="1" customWidth="1"/>
    <col min="16" max="16" width="8.28515625" bestFit="1" customWidth="1"/>
    <col min="17" max="17" width="9" bestFit="1" customWidth="1"/>
    <col min="18" max="18" width="7.7109375" bestFit="1" customWidth="1"/>
    <col min="19" max="19" width="9.7109375" bestFit="1" customWidth="1"/>
    <col min="20" max="20" width="8.28515625" bestFit="1" customWidth="1"/>
    <col min="21" max="21" width="9" bestFit="1" customWidth="1"/>
    <col min="22" max="22" width="7.7109375" bestFit="1" customWidth="1"/>
    <col min="23" max="23" width="9.7109375" bestFit="1" customWidth="1"/>
    <col min="24" max="24" width="8.28515625" bestFit="1" customWidth="1"/>
    <col min="25" max="25" width="9" bestFit="1" customWidth="1"/>
    <col min="26" max="26" width="7.7109375" bestFit="1" customWidth="1"/>
    <col min="27" max="27" width="15.85546875" bestFit="1" customWidth="1"/>
    <col min="28" max="28" width="8.28515625" bestFit="1" customWidth="1"/>
    <col min="29" max="29" width="9" bestFit="1" customWidth="1"/>
    <col min="30" max="30" width="7.7109375" bestFit="1" customWidth="1"/>
    <col min="31" max="31" width="18.28515625" bestFit="1" customWidth="1"/>
    <col min="32" max="32" width="8.28515625" bestFit="1" customWidth="1"/>
    <col min="33" max="33" width="9" bestFit="1" customWidth="1"/>
    <col min="34" max="34" width="7.7109375" bestFit="1" customWidth="1"/>
    <col min="35" max="35" width="15" bestFit="1" customWidth="1"/>
    <col min="36" max="36" width="8.28515625" bestFit="1" customWidth="1"/>
    <col min="37" max="37" width="9" bestFit="1" customWidth="1"/>
    <col min="38" max="38" width="13.28515625" bestFit="1" customWidth="1"/>
    <col min="39" max="39" width="15.7109375" bestFit="1" customWidth="1"/>
    <col min="40" max="40" width="10.85546875" bestFit="1" customWidth="1"/>
    <col min="41" max="41" width="14.28515625" bestFit="1" customWidth="1"/>
    <col min="42" max="42" width="16.7109375" bestFit="1" customWidth="1"/>
  </cols>
  <sheetData>
    <row r="1" spans="1:55" x14ac:dyDescent="0.25">
      <c r="C1" s="787" t="s">
        <v>512</v>
      </c>
      <c r="D1" s="787"/>
      <c r="E1" s="787"/>
      <c r="AL1" s="787" t="s">
        <v>509</v>
      </c>
      <c r="AM1" s="787"/>
      <c r="AN1" s="787"/>
      <c r="AO1" s="787" t="s">
        <v>510</v>
      </c>
      <c r="AP1" s="787"/>
      <c r="AQ1" s="787"/>
    </row>
    <row r="2" spans="1:55" ht="15.75" thickBot="1" x14ac:dyDescent="0.3">
      <c r="X2" t="s">
        <v>445</v>
      </c>
      <c r="Y2" t="s">
        <v>346</v>
      </c>
      <c r="Z2">
        <v>3</v>
      </c>
      <c r="AA2">
        <f>Z2-1</f>
        <v>2</v>
      </c>
      <c r="AB2" t="s">
        <v>347</v>
      </c>
      <c r="AC2">
        <v>255</v>
      </c>
      <c r="AK2" s="787" t="s">
        <v>514</v>
      </c>
      <c r="AL2" s="785" t="s">
        <v>457</v>
      </c>
      <c r="AM2" s="785" t="s">
        <v>458</v>
      </c>
      <c r="AN2" s="785" t="s">
        <v>459</v>
      </c>
      <c r="AO2" s="785" t="s">
        <v>457</v>
      </c>
      <c r="AP2" s="785" t="s">
        <v>458</v>
      </c>
      <c r="AQ2" s="785" t="s">
        <v>459</v>
      </c>
      <c r="AR2" s="787" t="s">
        <v>511</v>
      </c>
      <c r="AS2" s="787"/>
      <c r="AT2" s="787"/>
      <c r="AU2" s="787"/>
      <c r="AV2" s="787"/>
    </row>
    <row r="3" spans="1:55" x14ac:dyDescent="0.25">
      <c r="C3" t="s">
        <v>344</v>
      </c>
      <c r="G3" t="s">
        <v>345</v>
      </c>
      <c r="K3" t="s">
        <v>402</v>
      </c>
      <c r="O3" t="s">
        <v>403</v>
      </c>
      <c r="S3" t="s">
        <v>404</v>
      </c>
      <c r="W3" t="s">
        <v>405</v>
      </c>
      <c r="Y3" t="s">
        <v>446</v>
      </c>
      <c r="Z3">
        <f>255/AA2</f>
        <v>127.5</v>
      </c>
      <c r="AA3" t="s">
        <v>348</v>
      </c>
      <c r="AE3" t="s">
        <v>349</v>
      </c>
      <c r="AI3" t="s">
        <v>350</v>
      </c>
      <c r="AK3" s="787" t="s">
        <v>513</v>
      </c>
      <c r="AL3" s="784">
        <v>255</v>
      </c>
      <c r="AM3" s="784">
        <v>205</v>
      </c>
      <c r="AN3" s="784">
        <v>0</v>
      </c>
      <c r="AO3" s="784">
        <v>0</v>
      </c>
      <c r="AP3" s="784">
        <v>0</v>
      </c>
      <c r="AQ3" s="784">
        <v>0</v>
      </c>
    </row>
    <row r="4" spans="1:55" x14ac:dyDescent="0.25">
      <c r="A4" t="s">
        <v>343</v>
      </c>
      <c r="B4" t="s">
        <v>357</v>
      </c>
      <c r="C4" t="s">
        <v>356</v>
      </c>
      <c r="D4" t="s">
        <v>355</v>
      </c>
      <c r="E4" t="s">
        <v>390</v>
      </c>
      <c r="F4" t="s">
        <v>413</v>
      </c>
      <c r="G4" t="s">
        <v>414</v>
      </c>
      <c r="H4" t="s">
        <v>415</v>
      </c>
      <c r="I4" s="3" t="s">
        <v>416</v>
      </c>
      <c r="J4" t="s">
        <v>417</v>
      </c>
      <c r="K4" t="s">
        <v>418</v>
      </c>
      <c r="L4" t="s">
        <v>419</v>
      </c>
      <c r="M4" t="s">
        <v>420</v>
      </c>
      <c r="N4" t="s">
        <v>421</v>
      </c>
      <c r="O4" t="s">
        <v>422</v>
      </c>
      <c r="P4" t="s">
        <v>423</v>
      </c>
      <c r="Q4" t="s">
        <v>424</v>
      </c>
      <c r="R4" t="s">
        <v>425</v>
      </c>
      <c r="S4" t="s">
        <v>426</v>
      </c>
      <c r="T4" t="s">
        <v>427</v>
      </c>
      <c r="U4" t="s">
        <v>428</v>
      </c>
      <c r="V4" t="s">
        <v>429</v>
      </c>
      <c r="W4" t="s">
        <v>430</v>
      </c>
      <c r="X4" t="s">
        <v>431</v>
      </c>
      <c r="Y4" t="s">
        <v>432</v>
      </c>
      <c r="Z4" t="s">
        <v>433</v>
      </c>
      <c r="AA4" t="s">
        <v>434</v>
      </c>
      <c r="AB4" t="s">
        <v>435</v>
      </c>
      <c r="AC4" t="s">
        <v>436</v>
      </c>
      <c r="AD4" t="s">
        <v>437</v>
      </c>
      <c r="AE4" t="s">
        <v>438</v>
      </c>
      <c r="AF4" t="s">
        <v>439</v>
      </c>
      <c r="AG4" s="3" t="s">
        <v>440</v>
      </c>
      <c r="AH4" t="s">
        <v>441</v>
      </c>
      <c r="AI4" t="s">
        <v>442</v>
      </c>
      <c r="AJ4" t="s">
        <v>443</v>
      </c>
      <c r="AK4" t="s">
        <v>444</v>
      </c>
      <c r="AL4" t="s">
        <v>456</v>
      </c>
      <c r="AM4" t="s">
        <v>460</v>
      </c>
      <c r="AN4" t="s">
        <v>465</v>
      </c>
      <c r="AO4" t="s">
        <v>461</v>
      </c>
      <c r="AP4" t="s">
        <v>462</v>
      </c>
      <c r="AQ4" t="s">
        <v>464</v>
      </c>
      <c r="AR4" s="788" t="s">
        <v>463</v>
      </c>
      <c r="AS4" t="s">
        <v>508</v>
      </c>
    </row>
    <row r="5" spans="1:55" x14ac:dyDescent="0.25">
      <c r="A5" t="s">
        <v>123</v>
      </c>
      <c r="B5">
        <v>255</v>
      </c>
      <c r="C5">
        <v>205</v>
      </c>
      <c r="D5">
        <v>0</v>
      </c>
      <c r="E5" s="299"/>
      <c r="F5">
        <v>0</v>
      </c>
      <c r="G5">
        <v>0</v>
      </c>
      <c r="H5">
        <v>0</v>
      </c>
      <c r="I5" s="4"/>
      <c r="M5" s="4"/>
      <c r="Q5" s="4"/>
      <c r="U5" s="4"/>
      <c r="Y5" s="4"/>
      <c r="Z5">
        <f t="shared" ref="Z5:Z68" si="0">ROUND(B5/255*$AA$2,0)*$AC$2/$AA$2</f>
        <v>255</v>
      </c>
      <c r="AA5">
        <f t="shared" ref="AA5:AA68" si="1">ROUND(C5/255*$AA$2,0)*$AC$2/$AA$2</f>
        <v>255</v>
      </c>
      <c r="AB5">
        <f t="shared" ref="AB5:AB68" si="2">ROUND(D5/255*$AA$2,0)*$AC$2/$AA$2</f>
        <v>0</v>
      </c>
      <c r="AC5" s="9"/>
      <c r="AD5">
        <f t="shared" ref="AD5:AD68" si="3">ROUND(F5/255*$AA$2,0)*$AC$2/$AA$2</f>
        <v>0</v>
      </c>
      <c r="AE5">
        <f t="shared" ref="AE5:AE68" si="4">ROUND(G5/255*$AA$2,0)*$AC$2/$AA$2</f>
        <v>0</v>
      </c>
      <c r="AF5">
        <f t="shared" ref="AF5:AF68" si="5">ROUND(H5/255*$AA$2,0)*$AC$2/$AA$2</f>
        <v>0</v>
      </c>
      <c r="AG5" s="4"/>
      <c r="AH5">
        <f t="shared" ref="AH5:AH46" si="6">ROUND(J5/255*$AA$2,0)*$AC$2/$AA$2</f>
        <v>0</v>
      </c>
      <c r="AI5">
        <f t="shared" ref="AI5:AI46" si="7">ROUND(K5/255*$AA$2,0)*$AC$2/$AA$2</f>
        <v>0</v>
      </c>
      <c r="AJ5">
        <f t="shared" ref="AJ5:AJ46" si="8">ROUND(L5/255*$AA$2,0)*$AC$2/$AA$2</f>
        <v>0</v>
      </c>
      <c r="AK5" s="4"/>
      <c r="AL5">
        <f>SQRT((2+(($AL$3+Table4[[#This Row],[Red]])/2)/256)*($AL$3-Table4[[#This Row],[Red]])^2 + 4*($AM$3-Table4[[#This Row],[Green]])^2 + (2+(255-(($AL$3+Table4[[#This Row],[Red]])/2))/256 )*($AN$3-Table4[[#This Row],[Blue]])^2)</f>
        <v>0</v>
      </c>
      <c r="AM5">
        <f>SQRT((2+(($AO$3+Table4[[#This Row],[Red2]])/2)/256)*($AO$3-Table4[[#This Row],[Red2]])^2 + 4*($AP$3-Table4[[#This Row],[Green2]])^2 + (2+(255-(($AO$3+Table4[[#This Row],[Red2]])/2))/256 )*($AQ$3-Table4[[#This Row],[Blue2]])^2)</f>
        <v>0</v>
      </c>
      <c r="AN5">
        <f>SQRT(Table4[[#This Row],[diffPrimary]]^2+Table4[[#This Row],[diffSecondary]]^2)</f>
        <v>0</v>
      </c>
      <c r="AO5">
        <f>SQRT((2+(($AL$3+Table4[[#This Row],[Red2]])/2)/256)*($AL$3-Table4[[#This Row],[Red2]])^2 + 4*($AM$3-Table4[[#This Row],[Green2]])^2 + (2+(255-(($AL$3+Table4[[#This Row],[Red2]])/2))/256 )*($AN$3-Table4[[#This Row],[Blue2]])^2)</f>
        <v>574.92216694686158</v>
      </c>
      <c r="AP5">
        <f>SQRT((2+(($AO$3+Table4[[#This Row],[Red]])/2)/256)*($AO$3-Table4[[#This Row],[Red]])^2 + 4*($AP$3-Table4[[#This Row],[Green]])^2 + (2+(255-(($AO$3+Table4[[#This Row],[Red]])/2))/256 )*($AQ$3-Table4[[#This Row],[Blue]])^2)</f>
        <v>574.92216694686158</v>
      </c>
      <c r="AQ5" s="2">
        <f>SQRT(Table4[[#This Row],[diffPrimary2]]^2+Table4[[#This Row],[diffSecondary2]]^2)</f>
        <v>813.06272580518043</v>
      </c>
      <c r="AR5" s="786">
        <f>MIN(Table4[[#This Row],[MinOrig]],Table4[[#This Row],[MinSwap]])</f>
        <v>0</v>
      </c>
      <c r="AS5" s="2">
        <v>0</v>
      </c>
      <c r="AU5">
        <v>145</v>
      </c>
      <c r="AV5">
        <v>148</v>
      </c>
      <c r="AW5">
        <v>151</v>
      </c>
      <c r="AX5" s="638"/>
      <c r="AY5" t="s">
        <v>398</v>
      </c>
      <c r="AZ5" s="23"/>
      <c r="BA5" t="s">
        <v>394</v>
      </c>
      <c r="BB5" s="23"/>
      <c r="BC5" t="s">
        <v>394</v>
      </c>
    </row>
    <row r="6" spans="1:55" x14ac:dyDescent="0.25">
      <c r="A6" t="s">
        <v>333</v>
      </c>
      <c r="B6">
        <v>255</v>
      </c>
      <c r="C6">
        <v>205</v>
      </c>
      <c r="D6">
        <v>0</v>
      </c>
      <c r="E6" s="299"/>
      <c r="F6">
        <v>0</v>
      </c>
      <c r="G6">
        <v>0</v>
      </c>
      <c r="H6">
        <v>0</v>
      </c>
      <c r="I6" s="4"/>
      <c r="M6" s="4"/>
      <c r="Q6" s="4"/>
      <c r="U6" s="4"/>
      <c r="Y6" s="4"/>
      <c r="Z6">
        <f t="shared" si="0"/>
        <v>255</v>
      </c>
      <c r="AA6">
        <f t="shared" si="1"/>
        <v>255</v>
      </c>
      <c r="AB6">
        <f t="shared" si="2"/>
        <v>0</v>
      </c>
      <c r="AC6" s="9"/>
      <c r="AD6">
        <f t="shared" si="3"/>
        <v>0</v>
      </c>
      <c r="AE6">
        <f t="shared" si="4"/>
        <v>0</v>
      </c>
      <c r="AF6">
        <f t="shared" si="5"/>
        <v>0</v>
      </c>
      <c r="AG6" s="4"/>
      <c r="AH6">
        <f t="shared" si="6"/>
        <v>0</v>
      </c>
      <c r="AI6">
        <f t="shared" si="7"/>
        <v>0</v>
      </c>
      <c r="AJ6">
        <f t="shared" si="8"/>
        <v>0</v>
      </c>
      <c r="AK6" s="4"/>
      <c r="AL6">
        <f>SQRT((2+(($AL$3+Table4[[#This Row],[Red]])/2)/256)*($AL$3-Table4[[#This Row],[Red]])^2 + 4*($AM$3-Table4[[#This Row],[Green]])^2 + (2+(255-(($AL$3+Table4[[#This Row],[Red]])/2))/256 )*($AN$3-Table4[[#This Row],[Blue]])^2)</f>
        <v>0</v>
      </c>
      <c r="AM6">
        <f>SQRT((2+(($AO$3+Table4[[#This Row],[Red2]])/2)/256)*($AO$3-Table4[[#This Row],[Red2]])^2 + 4*($AP$3-Table4[[#This Row],[Green2]])^2 + (2+(255-(($AO$3+Table4[[#This Row],[Red2]])/2))/256 )*($AQ$3-Table4[[#This Row],[Blue2]])^2)</f>
        <v>0</v>
      </c>
      <c r="AN6">
        <f>SQRT(Table4[[#This Row],[diffPrimary]]^2+Table4[[#This Row],[diffSecondary]]^2)</f>
        <v>0</v>
      </c>
      <c r="AO6" s="2">
        <f>SQRT((2+(($AL$3+Table4[[#This Row],[Red2]])/2)/256)*($AL$3-Table4[[#This Row],[Red2]])^2 + 4*($AM$3-Table4[[#This Row],[Green2]])^2 + (2+(255-(($AL$3+Table4[[#This Row],[Red2]])/2))/256 )*($AN$3-Table4[[#This Row],[Blue2]])^2)</f>
        <v>574.92216694686158</v>
      </c>
      <c r="AP6" s="2">
        <f>SQRT((2+(($AO$3+Table4[[#This Row],[Red]])/2)/256)*($AO$3-Table4[[#This Row],[Red]])^2 + 4*($AP$3-Table4[[#This Row],[Green]])^2 + (2+(255-(($AO$3+Table4[[#This Row],[Red]])/2))/256 )*($AQ$3-Table4[[#This Row],[Blue]])^2)</f>
        <v>574.92216694686158</v>
      </c>
      <c r="AQ6" s="2">
        <f>SQRT(Table4[[#This Row],[diffPrimary2]]^2+Table4[[#This Row],[diffSecondary2]]^2)</f>
        <v>813.06272580518043</v>
      </c>
      <c r="AR6" s="786">
        <f>MIN(Table4[[#This Row],[MinOrig]],Table4[[#This Row],[MinSwap]])</f>
        <v>0</v>
      </c>
      <c r="AS6" s="2">
        <v>0</v>
      </c>
      <c r="AU6">
        <v>79</v>
      </c>
      <c r="AV6">
        <v>33</v>
      </c>
      <c r="AW6">
        <v>128</v>
      </c>
      <c r="AX6" s="639"/>
      <c r="AY6" t="s">
        <v>396</v>
      </c>
      <c r="AZ6" s="44"/>
      <c r="BA6" t="s">
        <v>364</v>
      </c>
      <c r="BB6" s="696"/>
      <c r="BC6" t="s">
        <v>482</v>
      </c>
    </row>
    <row r="7" spans="1:55" x14ac:dyDescent="0.25">
      <c r="A7" t="s">
        <v>320</v>
      </c>
      <c r="B7">
        <v>255</v>
      </c>
      <c r="C7">
        <v>179</v>
      </c>
      <c r="D7">
        <v>0</v>
      </c>
      <c r="E7" s="618"/>
      <c r="F7">
        <v>0</v>
      </c>
      <c r="G7">
        <v>0</v>
      </c>
      <c r="H7">
        <v>0</v>
      </c>
      <c r="I7" s="4"/>
      <c r="M7" s="4"/>
      <c r="Q7" s="4"/>
      <c r="U7" s="4"/>
      <c r="Y7" s="4"/>
      <c r="Z7">
        <f t="shared" si="0"/>
        <v>255</v>
      </c>
      <c r="AA7">
        <f t="shared" si="1"/>
        <v>127.5</v>
      </c>
      <c r="AB7">
        <f t="shared" si="2"/>
        <v>0</v>
      </c>
      <c r="AC7" s="28"/>
      <c r="AD7">
        <f t="shared" si="3"/>
        <v>0</v>
      </c>
      <c r="AE7">
        <f t="shared" si="4"/>
        <v>0</v>
      </c>
      <c r="AF7">
        <f t="shared" si="5"/>
        <v>0</v>
      </c>
      <c r="AG7" s="4"/>
      <c r="AH7">
        <f t="shared" si="6"/>
        <v>0</v>
      </c>
      <c r="AI7">
        <f t="shared" si="7"/>
        <v>0</v>
      </c>
      <c r="AJ7">
        <f t="shared" si="8"/>
        <v>0</v>
      </c>
      <c r="AK7" s="4"/>
      <c r="AL7">
        <f>SQRT((2+(($AL$3+Table4[[#This Row],[Red]])/2)/256)*($AL$3-Table4[[#This Row],[Red]])^2 + 4*($AM$3-Table4[[#This Row],[Green]])^2 + (2+(255-(($AL$3+Table4[[#This Row],[Red]])/2))/256 )*($AN$3-Table4[[#This Row],[Blue]])^2)</f>
        <v>52</v>
      </c>
      <c r="AM7">
        <f>SQRT((2+(($AO$3+Table4[[#This Row],[Red2]])/2)/256)*($AO$3-Table4[[#This Row],[Red2]])^2 + 4*($AP$3-Table4[[#This Row],[Green2]])^2 + (2+(255-(($AO$3+Table4[[#This Row],[Red2]])/2))/256 )*($AQ$3-Table4[[#This Row],[Blue2]])^2)</f>
        <v>0</v>
      </c>
      <c r="AN7">
        <f>SQRT(Table4[[#This Row],[diffPrimary]]^2+Table4[[#This Row],[diffSecondary]]^2)</f>
        <v>52</v>
      </c>
      <c r="AO7" s="2">
        <f>SQRT((2+(($AL$3+Table4[[#This Row],[Red2]])/2)/256)*($AL$3-Table4[[#This Row],[Red2]])^2 + 4*($AM$3-Table4[[#This Row],[Green2]])^2 + (2+(255-(($AL$3+Table4[[#This Row],[Red2]])/2))/256 )*($AN$3-Table4[[#This Row],[Blue2]])^2)</f>
        <v>574.92216694686158</v>
      </c>
      <c r="AP7" s="2">
        <f>SQRT((2+(($AO$3+Table4[[#This Row],[Red]])/2)/256)*($AO$3-Table4[[#This Row],[Red]])^2 + 4*($AP$3-Table4[[#This Row],[Green]])^2 + (2+(255-(($AO$3+Table4[[#This Row],[Red]])/2))/256 )*($AQ$3-Table4[[#This Row],[Blue]])^2)</f>
        <v>539.07281330714034</v>
      </c>
      <c r="AQ7" s="2">
        <f>SQRT(Table4[[#This Row],[diffPrimary2]]^2+Table4[[#This Row],[diffSecondary2]]^2)</f>
        <v>788.12118109701248</v>
      </c>
      <c r="AR7" s="786">
        <f>MIN(Table4[[#This Row],[MinOrig]],Table4[[#This Row],[MinSwap]])</f>
        <v>52</v>
      </c>
      <c r="AS7" s="2">
        <v>16</v>
      </c>
      <c r="AU7">
        <v>1</v>
      </c>
      <c r="AV7">
        <v>1</v>
      </c>
      <c r="AW7">
        <v>1</v>
      </c>
      <c r="AX7" s="640"/>
      <c r="AY7" t="s">
        <v>358</v>
      </c>
      <c r="AZ7" s="4"/>
      <c r="BA7" t="s">
        <v>358</v>
      </c>
      <c r="BB7" s="672"/>
      <c r="BC7" t="s">
        <v>358</v>
      </c>
    </row>
    <row r="8" spans="1:55" x14ac:dyDescent="0.25">
      <c r="A8" t="s">
        <v>142</v>
      </c>
      <c r="B8">
        <v>255</v>
      </c>
      <c r="C8">
        <v>199</v>
      </c>
      <c r="D8">
        <v>42</v>
      </c>
      <c r="E8" s="331"/>
      <c r="F8">
        <v>0</v>
      </c>
      <c r="G8">
        <v>0</v>
      </c>
      <c r="H8">
        <v>0</v>
      </c>
      <c r="I8" s="4"/>
      <c r="M8" s="4"/>
      <c r="Q8" s="4"/>
      <c r="U8" s="4"/>
      <c r="Y8" s="4"/>
      <c r="Z8">
        <f t="shared" si="0"/>
        <v>255</v>
      </c>
      <c r="AA8">
        <f t="shared" si="1"/>
        <v>255</v>
      </c>
      <c r="AB8">
        <f t="shared" si="2"/>
        <v>0</v>
      </c>
      <c r="AC8" s="9"/>
      <c r="AD8">
        <f t="shared" si="3"/>
        <v>0</v>
      </c>
      <c r="AE8">
        <f t="shared" si="4"/>
        <v>0</v>
      </c>
      <c r="AF8">
        <f t="shared" si="5"/>
        <v>0</v>
      </c>
      <c r="AG8" s="4"/>
      <c r="AH8">
        <f t="shared" si="6"/>
        <v>0</v>
      </c>
      <c r="AI8">
        <f t="shared" si="7"/>
        <v>0</v>
      </c>
      <c r="AJ8">
        <f t="shared" si="8"/>
        <v>0</v>
      </c>
      <c r="AK8" s="4"/>
      <c r="AL8">
        <f>SQRT((2+(($AL$3+Table4[[#This Row],[Red]])/2)/256)*($AL$3-Table4[[#This Row],[Red]])^2 + 4*($AM$3-Table4[[#This Row],[Green]])^2 + (2+(255-(($AL$3+Table4[[#This Row],[Red]])/2))/256 )*($AN$3-Table4[[#This Row],[Blue]])^2)</f>
        <v>60.597029630172464</v>
      </c>
      <c r="AM8">
        <f>SQRT((2+(($AO$3+Table4[[#This Row],[Red2]])/2)/256)*($AO$3-Table4[[#This Row],[Red2]])^2 + 4*($AP$3-Table4[[#This Row],[Green2]])^2 + (2+(255-(($AO$3+Table4[[#This Row],[Red2]])/2))/256 )*($AQ$3-Table4[[#This Row],[Blue2]])^2)</f>
        <v>0</v>
      </c>
      <c r="AN8">
        <f>SQRT(Table4[[#This Row],[diffPrimary]]^2+Table4[[#This Row],[diffSecondary]]^2)</f>
        <v>60.597029630172464</v>
      </c>
      <c r="AO8" s="2">
        <f>SQRT((2+(($AL$3+Table4[[#This Row],[Red2]])/2)/256)*($AL$3-Table4[[#This Row],[Red2]])^2 + 4*($AM$3-Table4[[#This Row],[Green2]])^2 + (2+(255-(($AL$3+Table4[[#This Row],[Red2]])/2))/256 )*($AN$3-Table4[[#This Row],[Blue2]])^2)</f>
        <v>574.92216694686158</v>
      </c>
      <c r="AP8" s="2">
        <f>SQRT((2+(($AO$3+Table4[[#This Row],[Red]])/2)/256)*($AO$3-Table4[[#This Row],[Red]])^2 + 4*($AP$3-Table4[[#This Row],[Green]])^2 + (2+(255-(($AO$3+Table4[[#This Row],[Red]])/2))/256 )*($AQ$3-Table4[[#This Row],[Blue]])^2)</f>
        <v>570.30347424364777</v>
      </c>
      <c r="AQ8" s="2">
        <f>SQRT(Table4[[#This Row],[diffPrimary2]]^2+Table4[[#This Row],[diffSecondary2]]^2)</f>
        <v>809.80340254981024</v>
      </c>
      <c r="AR8" s="786">
        <f>MIN(Table4[[#This Row],[MinOrig]],Table4[[#This Row],[MinSwap]])</f>
        <v>60.597029630172464</v>
      </c>
      <c r="AS8" s="2">
        <v>38.731396744114498</v>
      </c>
      <c r="AU8">
        <v>205</v>
      </c>
      <c r="AV8">
        <v>20</v>
      </c>
      <c r="AW8">
        <v>48</v>
      </c>
      <c r="AX8" s="641"/>
      <c r="AY8" t="s">
        <v>466</v>
      </c>
      <c r="AZ8" s="50"/>
      <c r="BA8" t="s">
        <v>397</v>
      </c>
      <c r="BB8" s="681"/>
      <c r="BC8" t="s">
        <v>483</v>
      </c>
    </row>
    <row r="9" spans="1:55" x14ac:dyDescent="0.25">
      <c r="A9" t="s">
        <v>266</v>
      </c>
      <c r="B9">
        <v>0</v>
      </c>
      <c r="C9">
        <v>0</v>
      </c>
      <c r="D9">
        <v>0</v>
      </c>
      <c r="E9" s="4"/>
      <c r="F9">
        <v>255</v>
      </c>
      <c r="G9">
        <v>171</v>
      </c>
      <c r="H9">
        <v>0</v>
      </c>
      <c r="I9" s="495"/>
      <c r="M9" s="4"/>
      <c r="Q9" s="4"/>
      <c r="U9" s="4"/>
      <c r="Y9" s="4"/>
      <c r="Z9">
        <f t="shared" si="0"/>
        <v>0</v>
      </c>
      <c r="AA9">
        <f t="shared" si="1"/>
        <v>0</v>
      </c>
      <c r="AB9">
        <f t="shared" si="2"/>
        <v>0</v>
      </c>
      <c r="AC9" s="4"/>
      <c r="AD9">
        <f t="shared" si="3"/>
        <v>255</v>
      </c>
      <c r="AE9">
        <f t="shared" si="4"/>
        <v>127.5</v>
      </c>
      <c r="AF9">
        <f t="shared" si="5"/>
        <v>0</v>
      </c>
      <c r="AG9" s="28"/>
      <c r="AH9">
        <f t="shared" si="6"/>
        <v>0</v>
      </c>
      <c r="AI9">
        <f t="shared" si="7"/>
        <v>0</v>
      </c>
      <c r="AJ9">
        <f t="shared" si="8"/>
        <v>0</v>
      </c>
      <c r="AK9" s="4"/>
      <c r="AL9">
        <f>SQRT((2+(($AL$3+Table4[[#This Row],[Red]])/2)/256)*($AL$3-Table4[[#This Row],[Red]])^2 + 4*($AM$3-Table4[[#This Row],[Green]])^2 + (2+(255-(($AL$3+Table4[[#This Row],[Red]])/2))/256 )*($AN$3-Table4[[#This Row],[Blue]])^2)</f>
        <v>574.92216694686158</v>
      </c>
      <c r="AM9">
        <f>SQRT((2+(($AO$3+Table4[[#This Row],[Red2]])/2)/256)*($AO$3-Table4[[#This Row],[Red2]])^2 + 4*($AP$3-Table4[[#This Row],[Green2]])^2 + (2+(255-(($AO$3+Table4[[#This Row],[Red2]])/2))/256 )*($AQ$3-Table4[[#This Row],[Blue2]])^2)</f>
        <v>528.5825366457683</v>
      </c>
      <c r="AN9">
        <f>SQRT(Table4[[#This Row],[diffPrimary]]^2+Table4[[#This Row],[diffSecondary]]^2)</f>
        <v>780.98335199525866</v>
      </c>
      <c r="AO9" s="2">
        <f>SQRT((2+(($AL$3+Table4[[#This Row],[Red2]])/2)/256)*($AL$3-Table4[[#This Row],[Red2]])^2 + 4*($AM$3-Table4[[#This Row],[Green2]])^2 + (2+(255-(($AL$3+Table4[[#This Row],[Red2]])/2))/256 )*($AN$3-Table4[[#This Row],[Blue2]])^2)</f>
        <v>68</v>
      </c>
      <c r="AP9" s="2">
        <f>SQRT((2+(($AO$3+Table4[[#This Row],[Red]])/2)/256)*($AO$3-Table4[[#This Row],[Red]])^2 + 4*($AP$3-Table4[[#This Row],[Green]])^2 + (2+(255-(($AO$3+Table4[[#This Row],[Red]])/2))/256 )*($AQ$3-Table4[[#This Row],[Blue]])^2)</f>
        <v>0</v>
      </c>
      <c r="AQ9" s="2">
        <f>SQRT(Table4[[#This Row],[diffPrimary2]]^2+Table4[[#This Row],[diffSecondary2]]^2)</f>
        <v>68</v>
      </c>
      <c r="AR9" s="786">
        <f>MIN(Table4[[#This Row],[MinOrig]],Table4[[#This Row],[MinSwap]])</f>
        <v>68</v>
      </c>
      <c r="AS9" s="2">
        <v>16</v>
      </c>
      <c r="AU9">
        <v>251</v>
      </c>
      <c r="AV9">
        <v>196</v>
      </c>
      <c r="AW9">
        <v>44</v>
      </c>
      <c r="AX9" s="642"/>
      <c r="AY9" t="s">
        <v>467</v>
      </c>
      <c r="AZ9" s="55"/>
      <c r="BA9" t="s">
        <v>383</v>
      </c>
      <c r="BB9" s="673"/>
      <c r="BC9" t="s">
        <v>484</v>
      </c>
    </row>
    <row r="10" spans="1:55" x14ac:dyDescent="0.25">
      <c r="A10" t="s">
        <v>174</v>
      </c>
      <c r="B10">
        <v>0</v>
      </c>
      <c r="C10">
        <v>0</v>
      </c>
      <c r="D10">
        <v>0</v>
      </c>
      <c r="E10" s="4"/>
      <c r="F10">
        <v>241</v>
      </c>
      <c r="G10">
        <v>184</v>
      </c>
      <c r="H10">
        <v>45</v>
      </c>
      <c r="I10" s="375"/>
      <c r="M10" s="4"/>
      <c r="Q10" s="4"/>
      <c r="U10" s="4"/>
      <c r="Y10" s="4"/>
      <c r="Z10">
        <f t="shared" si="0"/>
        <v>0</v>
      </c>
      <c r="AA10">
        <f t="shared" si="1"/>
        <v>0</v>
      </c>
      <c r="AB10">
        <f t="shared" si="2"/>
        <v>0</v>
      </c>
      <c r="AC10" s="4"/>
      <c r="AD10">
        <f t="shared" si="3"/>
        <v>255</v>
      </c>
      <c r="AE10">
        <f t="shared" si="4"/>
        <v>127.5</v>
      </c>
      <c r="AF10">
        <f t="shared" si="5"/>
        <v>0</v>
      </c>
      <c r="AG10" s="28"/>
      <c r="AH10">
        <f t="shared" si="6"/>
        <v>0</v>
      </c>
      <c r="AI10">
        <f t="shared" si="7"/>
        <v>0</v>
      </c>
      <c r="AJ10">
        <f t="shared" si="8"/>
        <v>0</v>
      </c>
      <c r="AK10" s="4"/>
      <c r="AL10">
        <f>SQRT((2+(($AL$3+Table4[[#This Row],[Red]])/2)/256)*($AL$3-Table4[[#This Row],[Red]])^2 + 4*($AM$3-Table4[[#This Row],[Green]])^2 + (2+(255-(($AL$3+Table4[[#This Row],[Red]])/2))/256 )*($AN$3-Table4[[#This Row],[Blue]])^2)</f>
        <v>574.92216694686158</v>
      </c>
      <c r="AM10">
        <f>SQRT((2+(($AO$3+Table4[[#This Row],[Red2]])/2)/256)*($AO$3-Table4[[#This Row],[Red2]])^2 + 4*($AP$3-Table4[[#This Row],[Green2]])^2 + (2+(255-(($AO$3+Table4[[#This Row],[Red2]])/2))/256 )*($AQ$3-Table4[[#This Row],[Blue2]])^2)</f>
        <v>532.95292870829599</v>
      </c>
      <c r="AN10">
        <f>SQRT(Table4[[#This Row],[diffPrimary]]^2+Table4[[#This Row],[diffSecondary]]^2)</f>
        <v>783.94790787757381</v>
      </c>
      <c r="AO10" s="2">
        <f>SQRT((2+(($AL$3+Table4[[#This Row],[Red2]])/2)/256)*($AL$3-Table4[[#This Row],[Red2]])^2 + 4*($AM$3-Table4[[#This Row],[Green2]])^2 + (2+(255-(($AL$3+Table4[[#This Row],[Red2]])/2))/256 )*($AN$3-Table4[[#This Row],[Blue2]])^2)</f>
        <v>80.319649487220744</v>
      </c>
      <c r="AP10" s="2">
        <f>SQRT((2+(($AO$3+Table4[[#This Row],[Red]])/2)/256)*($AO$3-Table4[[#This Row],[Red]])^2 + 4*($AP$3-Table4[[#This Row],[Green]])^2 + (2+(255-(($AO$3+Table4[[#This Row],[Red]])/2))/256 )*($AQ$3-Table4[[#This Row],[Blue]])^2)</f>
        <v>0</v>
      </c>
      <c r="AQ10" s="2">
        <f>SQRT(Table4[[#This Row],[diffPrimary2]]^2+Table4[[#This Row],[diffSecondary2]]^2)</f>
        <v>80.319649487220744</v>
      </c>
      <c r="AR10" s="786">
        <f>MIN(Table4[[#This Row],[MinOrig]],Table4[[#This Row],[MinSwap]])</f>
        <v>80.319649487220744</v>
      </c>
      <c r="AS10" s="2">
        <v>36.623800108331203</v>
      </c>
      <c r="AU10">
        <v>8</v>
      </c>
      <c r="AV10">
        <v>34</v>
      </c>
      <c r="AW10">
        <v>74</v>
      </c>
      <c r="AX10" s="643"/>
      <c r="AY10" t="s">
        <v>479</v>
      </c>
      <c r="AZ10" s="40"/>
      <c r="BA10" t="s">
        <v>360</v>
      </c>
      <c r="BB10" s="692"/>
      <c r="BC10" t="s">
        <v>360</v>
      </c>
    </row>
    <row r="11" spans="1:55" x14ac:dyDescent="0.25">
      <c r="A11" t="s">
        <v>103</v>
      </c>
      <c r="B11">
        <v>234</v>
      </c>
      <c r="C11">
        <v>169</v>
      </c>
      <c r="D11">
        <v>33</v>
      </c>
      <c r="E11" s="269"/>
      <c r="F11">
        <v>0</v>
      </c>
      <c r="G11">
        <v>0</v>
      </c>
      <c r="H11">
        <v>0</v>
      </c>
      <c r="I11" s="4"/>
      <c r="M11" s="4"/>
      <c r="Q11" s="4"/>
      <c r="U11" s="4"/>
      <c r="Y11" s="4"/>
      <c r="Z11">
        <f t="shared" si="0"/>
        <v>255</v>
      </c>
      <c r="AA11">
        <f t="shared" si="1"/>
        <v>127.5</v>
      </c>
      <c r="AB11">
        <f t="shared" si="2"/>
        <v>0</v>
      </c>
      <c r="AC11" s="28"/>
      <c r="AD11">
        <f t="shared" si="3"/>
        <v>0</v>
      </c>
      <c r="AE11">
        <f t="shared" si="4"/>
        <v>0</v>
      </c>
      <c r="AF11">
        <f t="shared" si="5"/>
        <v>0</v>
      </c>
      <c r="AG11" s="4"/>
      <c r="AH11">
        <f t="shared" si="6"/>
        <v>0</v>
      </c>
      <c r="AI11">
        <f t="shared" si="7"/>
        <v>0</v>
      </c>
      <c r="AJ11">
        <f t="shared" si="8"/>
        <v>0</v>
      </c>
      <c r="AK11" s="4"/>
      <c r="AL11">
        <f>SQRT((2+(($AL$3+Table4[[#This Row],[Red]])/2)/256)*($AL$3-Table4[[#This Row],[Red]])^2 + 4*($AM$3-Table4[[#This Row],[Green]])^2 + (2+(255-(($AL$3+Table4[[#This Row],[Red]])/2))/256 )*($AN$3-Table4[[#This Row],[Blue]])^2)</f>
        <v>93.326606435410469</v>
      </c>
      <c r="AM11">
        <f>SQRT((2+(($AO$3+Table4[[#This Row],[Red2]])/2)/256)*($AO$3-Table4[[#This Row],[Red2]])^2 + 4*($AP$3-Table4[[#This Row],[Green2]])^2 + (2+(255-(($AO$3+Table4[[#This Row],[Red2]])/2))/256 )*($AQ$3-Table4[[#This Row],[Blue2]])^2)</f>
        <v>0</v>
      </c>
      <c r="AN11">
        <f>SQRT(Table4[[#This Row],[diffPrimary]]^2+Table4[[#This Row],[diffSecondary]]^2)</f>
        <v>93.326606435410469</v>
      </c>
      <c r="AO11" s="2">
        <f>SQRT((2+(($AL$3+Table4[[#This Row],[Red2]])/2)/256)*($AL$3-Table4[[#This Row],[Red2]])^2 + 4*($AM$3-Table4[[#This Row],[Green2]])^2 + (2+(255-(($AL$3+Table4[[#This Row],[Red2]])/2))/256 )*($AN$3-Table4[[#This Row],[Blue2]])^2)</f>
        <v>574.92216694686158</v>
      </c>
      <c r="AP11" s="2">
        <f>SQRT((2+(($AO$3+Table4[[#This Row],[Red]])/2)/256)*($AO$3-Table4[[#This Row],[Red]])^2 + 4*($AP$3-Table4[[#This Row],[Green]])^2 + (2+(255-(($AO$3+Table4[[#This Row],[Red]])/2))/256 )*($AQ$3-Table4[[#This Row],[Blue]])^2)</f>
        <v>501.54385868785192</v>
      </c>
      <c r="AQ11" s="2">
        <f>SQRT(Table4[[#This Row],[diffPrimary2]]^2+Table4[[#This Row],[diffSecondary2]]^2)</f>
        <v>762.94281583508928</v>
      </c>
      <c r="AR11" s="786">
        <f>MIN(Table4[[#This Row],[MinOrig]],Table4[[#This Row],[MinSwap]])</f>
        <v>93.326606435410469</v>
      </c>
      <c r="AS11" s="2">
        <v>36.623800108331203</v>
      </c>
      <c r="AU11">
        <v>255</v>
      </c>
      <c r="AV11">
        <v>254</v>
      </c>
      <c r="AW11">
        <v>254</v>
      </c>
      <c r="AX11" s="644"/>
      <c r="AY11" t="s">
        <v>351</v>
      </c>
      <c r="AZ11" s="3"/>
      <c r="BA11" t="s">
        <v>351</v>
      </c>
      <c r="BB11" s="679"/>
      <c r="BC11" t="s">
        <v>485</v>
      </c>
    </row>
    <row r="12" spans="1:55" x14ac:dyDescent="0.25">
      <c r="A12" t="s">
        <v>133</v>
      </c>
      <c r="B12">
        <v>253</v>
      </c>
      <c r="C12">
        <v>187</v>
      </c>
      <c r="D12">
        <v>48</v>
      </c>
      <c r="E12" s="315"/>
      <c r="F12">
        <v>11</v>
      </c>
      <c r="G12">
        <v>19</v>
      </c>
      <c r="H12">
        <v>21</v>
      </c>
      <c r="I12" s="316"/>
      <c r="J12">
        <v>197</v>
      </c>
      <c r="K12">
        <v>198</v>
      </c>
      <c r="L12">
        <v>200</v>
      </c>
      <c r="M12" s="64"/>
      <c r="Q12" s="4"/>
      <c r="U12" s="4"/>
      <c r="Y12" s="4"/>
      <c r="Z12">
        <f t="shared" si="0"/>
        <v>255</v>
      </c>
      <c r="AA12">
        <f t="shared" si="1"/>
        <v>127.5</v>
      </c>
      <c r="AB12">
        <f t="shared" si="2"/>
        <v>0</v>
      </c>
      <c r="AC12" s="28"/>
      <c r="AD12">
        <f t="shared" si="3"/>
        <v>0</v>
      </c>
      <c r="AE12">
        <f t="shared" si="4"/>
        <v>0</v>
      </c>
      <c r="AF12">
        <f t="shared" si="5"/>
        <v>0</v>
      </c>
      <c r="AG12" s="4"/>
      <c r="AH12">
        <f t="shared" si="6"/>
        <v>255</v>
      </c>
      <c r="AI12">
        <f t="shared" si="7"/>
        <v>255</v>
      </c>
      <c r="AJ12">
        <f t="shared" si="8"/>
        <v>255</v>
      </c>
      <c r="AK12" s="3"/>
      <c r="AL12">
        <f>SQRT((2+(($AL$3+Table4[[#This Row],[Red]])/2)/256)*($AL$3-Table4[[#This Row],[Red]])^2 + 4*($AM$3-Table4[[#This Row],[Green]])^2 + (2+(255-(($AL$3+Table4[[#This Row],[Red]])/2))/256 )*($AN$3-Table4[[#This Row],[Blue]])^2)</f>
        <v>76.973818600872335</v>
      </c>
      <c r="AM12">
        <f>SQRT((2+(($AO$3+Table4[[#This Row],[Red2]])/2)/256)*($AO$3-Table4[[#This Row],[Red2]])^2 + 4*($AP$3-Table4[[#This Row],[Green2]])^2 + (2+(255-(($AO$3+Table4[[#This Row],[Red2]])/2))/256 )*($AQ$3-Table4[[#This Row],[Blue2]])^2)</f>
        <v>54.775928506507306</v>
      </c>
      <c r="AN12">
        <f>SQRT(Table4[[#This Row],[diffPrimary]]^2+Table4[[#This Row],[diffSecondary]]^2)</f>
        <v>94.474182154438367</v>
      </c>
      <c r="AO12" s="2">
        <f>SQRT((2+(($AL$3+Table4[[#This Row],[Red2]])/2)/256)*($AL$3-Table4[[#This Row],[Red2]])^2 + 4*($AM$3-Table4[[#This Row],[Green2]])^2 + (2+(255-(($AL$3+Table4[[#This Row],[Red2]])/2))/256 )*($AN$3-Table4[[#This Row],[Blue2]])^2)</f>
        <v>538.03250511702356</v>
      </c>
      <c r="AP12" s="2">
        <f>SQRT((2+(($AO$3+Table4[[#This Row],[Red]])/2)/256)*($AO$3-Table4[[#This Row],[Red]])^2 + 4*($AP$3-Table4[[#This Row],[Green]])^2 + (2+(255-(($AO$3+Table4[[#This Row],[Red]])/2))/256 )*($AQ$3-Table4[[#This Row],[Blue]])^2)</f>
        <v>552.52868456363876</v>
      </c>
      <c r="AQ12" s="2">
        <f>SQRT(Table4[[#This Row],[diffPrimary2]]^2+Table4[[#This Row],[diffSecondary2]]^2)</f>
        <v>771.21133538617346</v>
      </c>
      <c r="AR12" s="786">
        <f>MIN(Table4[[#This Row],[MinOrig]],Table4[[#This Row],[MinSwap]])</f>
        <v>94.474182154438367</v>
      </c>
      <c r="AS12" s="2">
        <v>59.005263271593002</v>
      </c>
      <c r="AU12">
        <v>234</v>
      </c>
      <c r="AV12">
        <v>77</v>
      </c>
      <c r="AW12">
        <v>17</v>
      </c>
      <c r="AX12" s="645"/>
      <c r="AY12" t="s">
        <v>468</v>
      </c>
      <c r="AZ12" s="54"/>
      <c r="BA12" t="s">
        <v>388</v>
      </c>
      <c r="BB12" s="676"/>
      <c r="BC12" t="s">
        <v>486</v>
      </c>
    </row>
    <row r="13" spans="1:55" x14ac:dyDescent="0.25">
      <c r="A13" t="s">
        <v>9</v>
      </c>
      <c r="B13">
        <v>34</v>
      </c>
      <c r="C13">
        <v>34</v>
      </c>
      <c r="D13">
        <v>34</v>
      </c>
      <c r="E13" s="79"/>
      <c r="F13">
        <v>255</v>
      </c>
      <c r="G13">
        <v>204</v>
      </c>
      <c r="H13">
        <v>0</v>
      </c>
      <c r="I13" s="80"/>
      <c r="M13" s="4"/>
      <c r="Q13" s="4"/>
      <c r="U13" s="4"/>
      <c r="Y13" s="4"/>
      <c r="Z13">
        <f t="shared" si="0"/>
        <v>0</v>
      </c>
      <c r="AA13">
        <f t="shared" si="1"/>
        <v>0</v>
      </c>
      <c r="AB13">
        <f t="shared" si="2"/>
        <v>0</v>
      </c>
      <c r="AC13" s="4"/>
      <c r="AD13">
        <f t="shared" si="3"/>
        <v>255</v>
      </c>
      <c r="AE13">
        <f t="shared" si="4"/>
        <v>255</v>
      </c>
      <c r="AF13">
        <f t="shared" si="5"/>
        <v>0</v>
      </c>
      <c r="AG13" s="9"/>
      <c r="AH13">
        <f t="shared" si="6"/>
        <v>0</v>
      </c>
      <c r="AI13">
        <f t="shared" si="7"/>
        <v>0</v>
      </c>
      <c r="AJ13">
        <f t="shared" si="8"/>
        <v>0</v>
      </c>
      <c r="AK13" s="4"/>
      <c r="AL13">
        <f>SQRT((2+(($AL$3+Table4[[#This Row],[Red]])/2)/256)*($AL$3-Table4[[#This Row],[Red]])^2 + 4*($AM$3-Table4[[#This Row],[Green]])^2 + (2+(255-(($AL$3+Table4[[#This Row],[Red]])/2))/256 )*($AN$3-Table4[[#This Row],[Blue]])^2)</f>
        <v>495.00043600043932</v>
      </c>
      <c r="AM13">
        <f>SQRT((2+(($AO$3+Table4[[#This Row],[Red2]])/2)/256)*($AO$3-Table4[[#This Row],[Red2]])^2 + 4*($AP$3-Table4[[#This Row],[Green2]])^2 + (2+(255-(($AO$3+Table4[[#This Row],[Red2]])/2))/256 )*($AQ$3-Table4[[#This Row],[Blue2]])^2)</f>
        <v>573.49760073332038</v>
      </c>
      <c r="AN13">
        <f>SQRT(Table4[[#This Row],[diffPrimary]]^2+Table4[[#This Row],[diffSecondary]]^2)</f>
        <v>757.57833237725322</v>
      </c>
      <c r="AO13" s="2">
        <f>SQRT((2+(($AL$3+Table4[[#This Row],[Red2]])/2)/256)*($AL$3-Table4[[#This Row],[Red2]])^2 + 4*($AM$3-Table4[[#This Row],[Green2]])^2 + (2+(255-(($AL$3+Table4[[#This Row],[Red2]])/2))/256 )*($AN$3-Table4[[#This Row],[Blue2]])^2)</f>
        <v>2</v>
      </c>
      <c r="AP13" s="2">
        <f>SQRT((2+(($AO$3+Table4[[#This Row],[Red]])/2)/256)*($AO$3-Table4[[#This Row],[Red]])^2 + 4*($AP$3-Table4[[#This Row],[Green]])^2 + (2+(255-(($AO$3+Table4[[#This Row],[Red]])/2))/256 )*($AQ$3-Table4[[#This Row],[Blue]])^2)</f>
        <v>101.97786218096553</v>
      </c>
      <c r="AQ13" s="2">
        <f>SQRT(Table4[[#This Row],[diffPrimary2]]^2+Table4[[#This Row],[diffSecondary2]]^2)</f>
        <v>101.99747239515301</v>
      </c>
      <c r="AR13" s="786">
        <f>MIN(Table4[[#This Row],[MinOrig]],Table4[[#This Row],[MinSwap]])</f>
        <v>101.99747239515301</v>
      </c>
      <c r="AS13" s="2">
        <v>70.193371303848906</v>
      </c>
      <c r="AU13">
        <v>2</v>
      </c>
      <c r="AV13">
        <v>77</v>
      </c>
      <c r="AW13">
        <v>168</v>
      </c>
      <c r="AX13" s="646"/>
      <c r="AY13" t="s">
        <v>355</v>
      </c>
      <c r="AZ13" s="48"/>
      <c r="BA13" t="s">
        <v>393</v>
      </c>
      <c r="BB13" s="691"/>
      <c r="BC13" t="s">
        <v>393</v>
      </c>
    </row>
    <row r="14" spans="1:55" x14ac:dyDescent="0.25">
      <c r="A14" t="s">
        <v>41</v>
      </c>
      <c r="B14">
        <v>12</v>
      </c>
      <c r="C14">
        <v>35</v>
      </c>
      <c r="D14">
        <v>64</v>
      </c>
      <c r="E14" s="90"/>
      <c r="F14">
        <v>255</v>
      </c>
      <c r="G14">
        <v>186</v>
      </c>
      <c r="H14">
        <v>0</v>
      </c>
      <c r="I14" s="149"/>
      <c r="J14">
        <v>255</v>
      </c>
      <c r="K14">
        <v>255</v>
      </c>
      <c r="L14">
        <v>255</v>
      </c>
      <c r="M14" s="3"/>
      <c r="Q14" s="4"/>
      <c r="U14" s="4"/>
      <c r="Y14" s="4"/>
      <c r="Z14">
        <f t="shared" si="0"/>
        <v>0</v>
      </c>
      <c r="AA14">
        <f t="shared" si="1"/>
        <v>0</v>
      </c>
      <c r="AB14">
        <f t="shared" si="2"/>
        <v>127.5</v>
      </c>
      <c r="AC14" s="26"/>
      <c r="AD14">
        <f t="shared" si="3"/>
        <v>255</v>
      </c>
      <c r="AE14">
        <f t="shared" si="4"/>
        <v>127.5</v>
      </c>
      <c r="AF14">
        <f t="shared" si="5"/>
        <v>0</v>
      </c>
      <c r="AG14" s="28"/>
      <c r="AH14">
        <f t="shared" si="6"/>
        <v>255</v>
      </c>
      <c r="AI14">
        <f t="shared" si="7"/>
        <v>255</v>
      </c>
      <c r="AJ14">
        <f t="shared" si="8"/>
        <v>255</v>
      </c>
      <c r="AK14" s="3"/>
      <c r="AL14">
        <f>SQRT((2+(($AL$3+Table4[[#This Row],[Red]])/2)/256)*($AL$3-Table4[[#This Row],[Red]])^2 + 4*($AM$3-Table4[[#This Row],[Green]])^2 + (2+(255-(($AL$3+Table4[[#This Row],[Red]])/2))/256 )*($AN$3-Table4[[#This Row],[Blue]])^2)</f>
        <v>524.04878671682377</v>
      </c>
      <c r="AM14">
        <f>SQRT((2+(($AO$3+Table4[[#This Row],[Red2]])/2)/256)*($AO$3-Table4[[#This Row],[Red2]])^2 + 4*($AP$3-Table4[[#This Row],[Green2]])^2 + (2+(255-(($AO$3+Table4[[#This Row],[Red2]])/2))/256 )*($AQ$3-Table4[[#This Row],[Blue2]])^2)</f>
        <v>548.47014325929808</v>
      </c>
      <c r="AN14">
        <f>SQRT(Table4[[#This Row],[diffPrimary]]^2+Table4[[#This Row],[diffSecondary]]^2)</f>
        <v>758.58198561938582</v>
      </c>
      <c r="AO14" s="2">
        <f>SQRT((2+(($AL$3+Table4[[#This Row],[Red2]])/2)/256)*($AL$3-Table4[[#This Row],[Red2]])^2 + 4*($AM$3-Table4[[#This Row],[Green2]])^2 + (2+(255-(($AL$3+Table4[[#This Row],[Red2]])/2))/256 )*($AN$3-Table4[[#This Row],[Blue2]])^2)</f>
        <v>38</v>
      </c>
      <c r="AP14" s="2">
        <f>SQRT((2+(($AO$3+Table4[[#This Row],[Red]])/2)/256)*($AO$3-Table4[[#This Row],[Red]])^2 + 4*($AP$3-Table4[[#This Row],[Green]])^2 + (2+(255-(($AO$3+Table4[[#This Row],[Red]])/2))/256 )*($AQ$3-Table4[[#This Row],[Blue]])^2)</f>
        <v>131.78533681711332</v>
      </c>
      <c r="AQ14" s="2">
        <f>SQRT(Table4[[#This Row],[diffPrimary2]]^2+Table4[[#This Row],[diffSecondary2]]^2)</f>
        <v>137.15456609242</v>
      </c>
      <c r="AR14" s="786">
        <f>MIN(Table4[[#This Row],[MinOrig]],Table4[[#This Row],[MinSwap]])</f>
        <v>137.15456609242</v>
      </c>
      <c r="AS14" s="2">
        <v>39.799497484264798</v>
      </c>
      <c r="AU14">
        <v>123</v>
      </c>
      <c r="AV14">
        <v>3</v>
      </c>
      <c r="AW14">
        <v>13</v>
      </c>
      <c r="AX14" s="647"/>
      <c r="AY14" t="s">
        <v>409</v>
      </c>
      <c r="AZ14" s="42"/>
      <c r="BA14" t="s">
        <v>361</v>
      </c>
      <c r="BB14" s="694"/>
      <c r="BC14" t="s">
        <v>487</v>
      </c>
    </row>
    <row r="15" spans="1:55" x14ac:dyDescent="0.25">
      <c r="A15" t="s">
        <v>5</v>
      </c>
      <c r="B15">
        <v>201</v>
      </c>
      <c r="C15">
        <v>151</v>
      </c>
      <c r="D15">
        <v>0</v>
      </c>
      <c r="E15" s="74"/>
      <c r="F15">
        <v>0</v>
      </c>
      <c r="G15">
        <v>0</v>
      </c>
      <c r="H15">
        <v>0</v>
      </c>
      <c r="I15" s="4"/>
      <c r="M15" s="4"/>
      <c r="Q15" s="4"/>
      <c r="U15" s="4"/>
      <c r="Y15" s="4"/>
      <c r="Z15">
        <f t="shared" si="0"/>
        <v>255</v>
      </c>
      <c r="AA15">
        <f t="shared" si="1"/>
        <v>127.5</v>
      </c>
      <c r="AB15">
        <f t="shared" si="2"/>
        <v>0</v>
      </c>
      <c r="AC15" s="28"/>
      <c r="AD15">
        <f t="shared" si="3"/>
        <v>0</v>
      </c>
      <c r="AE15">
        <f t="shared" si="4"/>
        <v>0</v>
      </c>
      <c r="AF15">
        <f t="shared" si="5"/>
        <v>0</v>
      </c>
      <c r="AG15" s="4"/>
      <c r="AH15">
        <f t="shared" si="6"/>
        <v>0</v>
      </c>
      <c r="AI15">
        <f t="shared" si="7"/>
        <v>0</v>
      </c>
      <c r="AJ15">
        <f t="shared" si="8"/>
        <v>0</v>
      </c>
      <c r="AK15" s="4"/>
      <c r="AL15">
        <f>SQRT((2+(($AL$3+Table4[[#This Row],[Red]])/2)/256)*($AL$3-Table4[[#This Row],[Red]])^2 + 4*($AM$3-Table4[[#This Row],[Green]])^2 + (2+(255-(($AL$3+Table4[[#This Row],[Red]])/2))/256 )*($AN$3-Table4[[#This Row],[Blue]])^2)</f>
        <v>141.75</v>
      </c>
      <c r="AM15">
        <f>SQRT((2+(($AO$3+Table4[[#This Row],[Red2]])/2)/256)*($AO$3-Table4[[#This Row],[Red2]])^2 + 4*($AP$3-Table4[[#This Row],[Green2]])^2 + (2+(255-(($AO$3+Table4[[#This Row],[Red2]])/2))/256 )*($AQ$3-Table4[[#This Row],[Blue2]])^2)</f>
        <v>0</v>
      </c>
      <c r="AN15">
        <f>SQRT(Table4[[#This Row],[diffPrimary]]^2+Table4[[#This Row],[diffSecondary]]^2)</f>
        <v>141.75</v>
      </c>
      <c r="AO15" s="2">
        <f>SQRT((2+(($AL$3+Table4[[#This Row],[Red2]])/2)/256)*($AL$3-Table4[[#This Row],[Red2]])^2 + 4*($AM$3-Table4[[#This Row],[Green2]])^2 + (2+(255-(($AL$3+Table4[[#This Row],[Red2]])/2))/256 )*($AN$3-Table4[[#This Row],[Blue2]])^2)</f>
        <v>574.92216694686158</v>
      </c>
      <c r="AP15" s="2">
        <f>SQRT((2+(($AO$3+Table4[[#This Row],[Red]])/2)/256)*($AO$3-Table4[[#This Row],[Red]])^2 + 4*($AP$3-Table4[[#This Row],[Green]])^2 + (2+(255-(($AO$3+Table4[[#This Row],[Red]])/2))/256 )*($AQ$3-Table4[[#This Row],[Blue]])^2)</f>
        <v>433.43574936560668</v>
      </c>
      <c r="AQ15" s="2">
        <f>SQRT(Table4[[#This Row],[diffPrimary2]]^2+Table4[[#This Row],[diffSecondary2]]^2)</f>
        <v>720.00142143956907</v>
      </c>
      <c r="AR15" s="786">
        <f>MIN(Table4[[#This Row],[MinOrig]],Table4[[#This Row],[MinSwap]])</f>
        <v>141.75</v>
      </c>
      <c r="AS15" s="2">
        <v>82.077683286932498</v>
      </c>
      <c r="AU15">
        <v>73</v>
      </c>
      <c r="AV15">
        <v>45</v>
      </c>
      <c r="AW15">
        <v>35</v>
      </c>
      <c r="AX15" s="648"/>
      <c r="AY15" t="s">
        <v>469</v>
      </c>
      <c r="AZ15" s="47"/>
      <c r="BA15" t="s">
        <v>375</v>
      </c>
      <c r="BB15" s="677"/>
      <c r="BC15" t="s">
        <v>488</v>
      </c>
    </row>
    <row r="16" spans="1:55" x14ac:dyDescent="0.25">
      <c r="A16" t="s">
        <v>76</v>
      </c>
      <c r="B16">
        <v>4</v>
      </c>
      <c r="C16">
        <v>30</v>
      </c>
      <c r="D16">
        <v>66</v>
      </c>
      <c r="E16" s="69"/>
      <c r="F16">
        <v>255</v>
      </c>
      <c r="G16">
        <v>199</v>
      </c>
      <c r="H16">
        <v>44</v>
      </c>
      <c r="I16" s="68"/>
      <c r="M16" s="4"/>
      <c r="Q16" s="4"/>
      <c r="U16" s="4"/>
      <c r="Y16" s="4"/>
      <c r="Z16">
        <f t="shared" si="0"/>
        <v>0</v>
      </c>
      <c r="AA16">
        <f t="shared" si="1"/>
        <v>0</v>
      </c>
      <c r="AB16">
        <f t="shared" si="2"/>
        <v>127.5</v>
      </c>
      <c r="AC16" s="26"/>
      <c r="AD16">
        <f t="shared" si="3"/>
        <v>255</v>
      </c>
      <c r="AE16">
        <f t="shared" si="4"/>
        <v>255</v>
      </c>
      <c r="AF16">
        <f t="shared" si="5"/>
        <v>0</v>
      </c>
      <c r="AG16" s="9"/>
      <c r="AH16">
        <f t="shared" si="6"/>
        <v>0</v>
      </c>
      <c r="AI16">
        <f t="shared" si="7"/>
        <v>0</v>
      </c>
      <c r="AJ16">
        <f t="shared" si="8"/>
        <v>0</v>
      </c>
      <c r="AK16" s="4"/>
      <c r="AL16">
        <f>SQRT((2+(($AL$3+Table4[[#This Row],[Red]])/2)/256)*($AL$3-Table4[[#This Row],[Red]])^2 + 4*($AM$3-Table4[[#This Row],[Green]])^2 + (2+(255-(($AL$3+Table4[[#This Row],[Red]])/2))/256 )*($AN$3-Table4[[#This Row],[Blue]])^2)</f>
        <v>539.64720644313081</v>
      </c>
      <c r="AM16">
        <f>SQRT((2+(($AO$3+Table4[[#This Row],[Red2]])/2)/256)*($AO$3-Table4[[#This Row],[Red2]])^2 + 4*($AP$3-Table4[[#This Row],[Green2]])^2 + (2+(255-(($AO$3+Table4[[#This Row],[Red2]])/2))/256 )*($AQ$3-Table4[[#This Row],[Blue2]])^2)</f>
        <v>570.68004765969783</v>
      </c>
      <c r="AN16">
        <f>SQRT(Table4[[#This Row],[diffPrimary]]^2+Table4[[#This Row],[diffSecondary]]^2)</f>
        <v>785.42652375556429</v>
      </c>
      <c r="AO16" s="2">
        <f>SQRT((2+(($AL$3+Table4[[#This Row],[Red2]])/2)/256)*($AL$3-Table4[[#This Row],[Red2]])^2 + 4*($AM$3-Table4[[#This Row],[Green2]])^2 + (2+(255-(($AL$3+Table4[[#This Row],[Red2]])/2))/256 )*($AN$3-Table4[[#This Row],[Blue2]])^2)</f>
        <v>63.371918071019437</v>
      </c>
      <c r="AP16" s="2">
        <f>SQRT((2+(($AO$3+Table4[[#This Row],[Red]])/2)/256)*($AO$3-Table4[[#This Row],[Red]])^2 + 4*($AP$3-Table4[[#This Row],[Green]])^2 + (2+(255-(($AO$3+Table4[[#This Row],[Red]])/2))/256 )*($AQ$3-Table4[[#This Row],[Blue]])^2)</f>
        <v>129.03130676312628</v>
      </c>
      <c r="AQ16" s="2">
        <f>SQRT(Table4[[#This Row],[diffPrimary2]]^2+Table4[[#This Row],[diffSecondary2]]^2)</f>
        <v>143.75353256529036</v>
      </c>
      <c r="AR16" s="786">
        <f>MIN(Table4[[#This Row],[MinOrig]],Table4[[#This Row],[MinSwap]])</f>
        <v>143.75353256529036</v>
      </c>
      <c r="AS16" s="2">
        <v>15.551828670609799</v>
      </c>
      <c r="AU16">
        <v>202</v>
      </c>
      <c r="AV16">
        <v>183</v>
      </c>
      <c r="AW16">
        <v>129</v>
      </c>
      <c r="AX16" s="649"/>
      <c r="AY16" t="s">
        <v>470</v>
      </c>
      <c r="AZ16" s="57"/>
      <c r="BA16" t="s">
        <v>385</v>
      </c>
      <c r="BB16" s="675"/>
      <c r="BC16" t="s">
        <v>489</v>
      </c>
    </row>
    <row r="17" spans="1:55" x14ac:dyDescent="0.25">
      <c r="A17" t="s">
        <v>232</v>
      </c>
      <c r="B17">
        <v>12</v>
      </c>
      <c r="C17">
        <v>35</v>
      </c>
      <c r="D17">
        <v>64</v>
      </c>
      <c r="E17" s="90"/>
      <c r="F17">
        <v>255</v>
      </c>
      <c r="G17">
        <v>184</v>
      </c>
      <c r="H17">
        <v>28</v>
      </c>
      <c r="I17" s="96"/>
      <c r="J17">
        <v>65</v>
      </c>
      <c r="K17">
        <v>143</v>
      </c>
      <c r="L17">
        <v>222</v>
      </c>
      <c r="M17" s="551"/>
      <c r="Q17" s="4"/>
      <c r="U17" s="4"/>
      <c r="Y17" s="4"/>
      <c r="Z17">
        <f t="shared" si="0"/>
        <v>0</v>
      </c>
      <c r="AA17">
        <f t="shared" si="1"/>
        <v>0</v>
      </c>
      <c r="AB17">
        <f t="shared" si="2"/>
        <v>127.5</v>
      </c>
      <c r="AC17" s="26"/>
      <c r="AD17">
        <f t="shared" si="3"/>
        <v>255</v>
      </c>
      <c r="AE17">
        <f t="shared" si="4"/>
        <v>127.5</v>
      </c>
      <c r="AF17">
        <f t="shared" si="5"/>
        <v>0</v>
      </c>
      <c r="AG17" s="28"/>
      <c r="AH17">
        <f t="shared" si="6"/>
        <v>127.5</v>
      </c>
      <c r="AI17">
        <f t="shared" si="7"/>
        <v>127.5</v>
      </c>
      <c r="AJ17">
        <f t="shared" si="8"/>
        <v>255</v>
      </c>
      <c r="AK17" s="37"/>
      <c r="AL17">
        <f>SQRT((2+(($AL$3+Table4[[#This Row],[Red]])/2)/256)*($AL$3-Table4[[#This Row],[Red]])^2 + 4*($AM$3-Table4[[#This Row],[Green]])^2 + (2+(255-(($AL$3+Table4[[#This Row],[Red]])/2))/256 )*($AN$3-Table4[[#This Row],[Blue]])^2)</f>
        <v>524.04878671682377</v>
      </c>
      <c r="AM17">
        <f>SQRT((2+(($AO$3+Table4[[#This Row],[Red2]])/2)/256)*($AO$3-Table4[[#This Row],[Red2]])^2 + 4*($AP$3-Table4[[#This Row],[Green2]])^2 + (2+(255-(($AO$3+Table4[[#This Row],[Red2]])/2))/256 )*($AQ$3-Table4[[#This Row],[Blue2]])^2)</f>
        <v>547.55635947076257</v>
      </c>
      <c r="AN17">
        <f>SQRT(Table4[[#This Row],[diffPrimary]]^2+Table4[[#This Row],[diffSecondary]]^2)</f>
        <v>757.92156431668445</v>
      </c>
      <c r="AO17" s="2">
        <f>SQRT((2+(($AL$3+Table4[[#This Row],[Red2]])/2)/256)*($AL$3-Table4[[#This Row],[Red2]])^2 + 4*($AM$3-Table4[[#This Row],[Green2]])^2 + (2+(255-(($AL$3+Table4[[#This Row],[Red2]])/2))/256 )*($AN$3-Table4[[#This Row],[Blue2]])^2)</f>
        <v>57.723478758647246</v>
      </c>
      <c r="AP17" s="2">
        <f>SQRT((2+(($AO$3+Table4[[#This Row],[Red]])/2)/256)*($AO$3-Table4[[#This Row],[Red]])^2 + 4*($AP$3-Table4[[#This Row],[Green]])^2 + (2+(255-(($AO$3+Table4[[#This Row],[Red]])/2))/256 )*($AQ$3-Table4[[#This Row],[Blue]])^2)</f>
        <v>131.78533681711332</v>
      </c>
      <c r="AQ17" s="2">
        <f>SQRT(Table4[[#This Row],[diffPrimary2]]^2+Table4[[#This Row],[diffSecondary2]]^2)</f>
        <v>143.87277365783982</v>
      </c>
      <c r="AR17" s="786">
        <f>MIN(Table4[[#This Row],[MinOrig]],Table4[[#This Row],[MinSwap]])</f>
        <v>143.87277365783982</v>
      </c>
      <c r="AS17" s="2">
        <v>10.371516734547599</v>
      </c>
      <c r="AU17">
        <v>244</v>
      </c>
      <c r="AV17">
        <v>122</v>
      </c>
      <c r="AW17">
        <v>31</v>
      </c>
      <c r="AX17" s="650"/>
      <c r="AY17" t="s">
        <v>471</v>
      </c>
      <c r="AZ17" s="51"/>
      <c r="BA17" t="s">
        <v>395</v>
      </c>
      <c r="BB17" s="686"/>
      <c r="BC17" t="s">
        <v>468</v>
      </c>
    </row>
    <row r="18" spans="1:55" x14ac:dyDescent="0.25">
      <c r="A18" t="s">
        <v>300</v>
      </c>
      <c r="B18">
        <v>12</v>
      </c>
      <c r="C18">
        <v>35</v>
      </c>
      <c r="D18">
        <v>64</v>
      </c>
      <c r="E18" s="90"/>
      <c r="F18">
        <v>255</v>
      </c>
      <c r="G18">
        <v>199</v>
      </c>
      <c r="H18">
        <v>44</v>
      </c>
      <c r="I18" s="68"/>
      <c r="M18" s="4"/>
      <c r="Q18" s="4"/>
      <c r="U18" s="4"/>
      <c r="Y18" s="4"/>
      <c r="Z18">
        <f t="shared" si="0"/>
        <v>0</v>
      </c>
      <c r="AA18">
        <f t="shared" si="1"/>
        <v>0</v>
      </c>
      <c r="AB18">
        <f t="shared" si="2"/>
        <v>127.5</v>
      </c>
      <c r="AC18" s="26"/>
      <c r="AD18">
        <f t="shared" si="3"/>
        <v>255</v>
      </c>
      <c r="AE18">
        <f t="shared" si="4"/>
        <v>255</v>
      </c>
      <c r="AF18">
        <f t="shared" si="5"/>
        <v>0</v>
      </c>
      <c r="AG18" s="9"/>
      <c r="AH18">
        <f t="shared" si="6"/>
        <v>0</v>
      </c>
      <c r="AI18">
        <f t="shared" si="7"/>
        <v>0</v>
      </c>
      <c r="AJ18">
        <f t="shared" si="8"/>
        <v>0</v>
      </c>
      <c r="AK18" s="4"/>
      <c r="AL18">
        <f>SQRT((2+(($AL$3+Table4[[#This Row],[Red]])/2)/256)*($AL$3-Table4[[#This Row],[Red]])^2 + 4*($AM$3-Table4[[#This Row],[Green]])^2 + (2+(255-(($AL$3+Table4[[#This Row],[Red]])/2))/256 )*($AN$3-Table4[[#This Row],[Blue]])^2)</f>
        <v>524.04878671682377</v>
      </c>
      <c r="AM18">
        <f>SQRT((2+(($AO$3+Table4[[#This Row],[Red2]])/2)/256)*($AO$3-Table4[[#This Row],[Red2]])^2 + 4*($AP$3-Table4[[#This Row],[Green2]])^2 + (2+(255-(($AO$3+Table4[[#This Row],[Red2]])/2))/256 )*($AQ$3-Table4[[#This Row],[Blue2]])^2)</f>
        <v>570.68004765969783</v>
      </c>
      <c r="AN18">
        <f>SQRT(Table4[[#This Row],[diffPrimary]]^2+Table4[[#This Row],[diffSecondary]]^2)</f>
        <v>774.79213190135715</v>
      </c>
      <c r="AO18" s="2">
        <f>SQRT((2+(($AL$3+Table4[[#This Row],[Red2]])/2)/256)*($AL$3-Table4[[#This Row],[Red2]])^2 + 4*($AM$3-Table4[[#This Row],[Green2]])^2 + (2+(255-(($AL$3+Table4[[#This Row],[Red2]])/2))/256 )*($AN$3-Table4[[#This Row],[Blue2]])^2)</f>
        <v>63.371918071019437</v>
      </c>
      <c r="AP18" s="2">
        <f>SQRT((2+(($AO$3+Table4[[#This Row],[Red]])/2)/256)*($AO$3-Table4[[#This Row],[Red]])^2 + 4*($AP$3-Table4[[#This Row],[Green]])^2 + (2+(255-(($AO$3+Table4[[#This Row],[Red]])/2))/256 )*($AQ$3-Table4[[#This Row],[Blue]])^2)</f>
        <v>131.78533681711332</v>
      </c>
      <c r="AQ18" s="2">
        <f>SQRT(Table4[[#This Row],[diffPrimary2]]^2+Table4[[#This Row],[diffSecondary2]]^2)</f>
        <v>146.23055426278054</v>
      </c>
      <c r="AR18" s="786">
        <f>MIN(Table4[[#This Row],[MinOrig]],Table4[[#This Row],[MinSwap]])</f>
        <v>146.23055426278054</v>
      </c>
      <c r="AS18" s="2">
        <v>15.551828670609799</v>
      </c>
      <c r="AU18">
        <v>199</v>
      </c>
      <c r="AV18">
        <v>0</v>
      </c>
      <c r="AW18">
        <v>5</v>
      </c>
      <c r="AX18" s="651"/>
      <c r="AY18" t="s">
        <v>472</v>
      </c>
      <c r="AZ18" s="5"/>
      <c r="BA18" t="s">
        <v>357</v>
      </c>
      <c r="BB18" s="683"/>
      <c r="BC18" t="s">
        <v>490</v>
      </c>
    </row>
    <row r="19" spans="1:55" x14ac:dyDescent="0.25">
      <c r="A19" t="s">
        <v>307</v>
      </c>
      <c r="B19">
        <v>15</v>
      </c>
      <c r="C19">
        <v>32</v>
      </c>
      <c r="D19">
        <v>68</v>
      </c>
      <c r="E19" s="602"/>
      <c r="F19">
        <v>255</v>
      </c>
      <c r="G19">
        <v>183</v>
      </c>
      <c r="H19">
        <v>27</v>
      </c>
      <c r="I19" s="603"/>
      <c r="J19">
        <v>190</v>
      </c>
      <c r="K19">
        <v>192</v>
      </c>
      <c r="L19">
        <v>194</v>
      </c>
      <c r="M19" s="604"/>
      <c r="Q19" s="4"/>
      <c r="U19" s="4"/>
      <c r="Y19" s="4"/>
      <c r="Z19">
        <f t="shared" si="0"/>
        <v>0</v>
      </c>
      <c r="AA19">
        <f t="shared" si="1"/>
        <v>0</v>
      </c>
      <c r="AB19">
        <f t="shared" si="2"/>
        <v>127.5</v>
      </c>
      <c r="AC19" s="26"/>
      <c r="AD19">
        <f t="shared" si="3"/>
        <v>255</v>
      </c>
      <c r="AE19">
        <f t="shared" si="4"/>
        <v>127.5</v>
      </c>
      <c r="AF19">
        <f t="shared" si="5"/>
        <v>0</v>
      </c>
      <c r="AG19" s="28"/>
      <c r="AH19">
        <f t="shared" si="6"/>
        <v>127.5</v>
      </c>
      <c r="AI19">
        <f t="shared" si="7"/>
        <v>255</v>
      </c>
      <c r="AJ19">
        <f t="shared" si="8"/>
        <v>255</v>
      </c>
      <c r="AK19" s="35"/>
      <c r="AL19">
        <f>SQRT((2+(($AL$3+Table4[[#This Row],[Red]])/2)/256)*($AL$3-Table4[[#This Row],[Red]])^2 + 4*($AM$3-Table4[[#This Row],[Green]])^2 + (2+(255-(($AL$3+Table4[[#This Row],[Red]])/2))/256 )*($AN$3-Table4[[#This Row],[Blue]])^2)</f>
        <v>526.02899159647086</v>
      </c>
      <c r="AM19">
        <f>SQRT((2+(($AO$3+Table4[[#This Row],[Red2]])/2)/256)*($AO$3-Table4[[#This Row],[Red2]])^2 + 4*($AP$3-Table4[[#This Row],[Green2]])^2 + (2+(255-(($AO$3+Table4[[#This Row],[Red2]])/2))/256 )*($AQ$3-Table4[[#This Row],[Blue2]])^2)</f>
        <v>546.08843076808535</v>
      </c>
      <c r="AN19">
        <f>SQRT(Table4[[#This Row],[diffPrimary]]^2+Table4[[#This Row],[diffSecondary]]^2)</f>
        <v>758.23418164756333</v>
      </c>
      <c r="AO19" s="2">
        <f>SQRT((2+(($AL$3+Table4[[#This Row],[Red2]])/2)/256)*($AL$3-Table4[[#This Row],[Red2]])^2 + 4*($AM$3-Table4[[#This Row],[Green2]])^2 + (2+(255-(($AL$3+Table4[[#This Row],[Red2]])/2))/256 )*($AN$3-Table4[[#This Row],[Blue2]])^2)</f>
        <v>58.258046654518033</v>
      </c>
      <c r="AP19" s="2">
        <f>SQRT((2+(($AO$3+Table4[[#This Row],[Red]])/2)/256)*($AO$3-Table4[[#This Row],[Red]])^2 + 4*($AP$3-Table4[[#This Row],[Green]])^2 + (2+(255-(($AO$3+Table4[[#This Row],[Red]])/2))/256 )*($AQ$3-Table4[[#This Row],[Blue]])^2)</f>
        <v>135.17048696692262</v>
      </c>
      <c r="AQ19" s="2">
        <f>SQRT(Table4[[#This Row],[diffPrimary2]]^2+Table4[[#This Row],[diffSecondary2]]^2)</f>
        <v>147.19055862002494</v>
      </c>
      <c r="AR19" s="786">
        <f>MIN(Table4[[#This Row],[MinOrig]],Table4[[#This Row],[MinSwap]])</f>
        <v>147.19055862002494</v>
      </c>
      <c r="AS19" s="2">
        <v>10.371516734547599</v>
      </c>
      <c r="AU19">
        <v>180</v>
      </c>
      <c r="AV19">
        <v>193</v>
      </c>
      <c r="AW19">
        <v>201</v>
      </c>
      <c r="AX19" s="652"/>
      <c r="AY19" t="s">
        <v>473</v>
      </c>
      <c r="AZ19" s="56"/>
      <c r="BA19" t="s">
        <v>384</v>
      </c>
      <c r="BB19" s="674"/>
      <c r="BC19" t="s">
        <v>491</v>
      </c>
    </row>
    <row r="20" spans="1:55" x14ac:dyDescent="0.25">
      <c r="A20" t="s">
        <v>166</v>
      </c>
      <c r="B20">
        <v>0</v>
      </c>
      <c r="C20">
        <v>39</v>
      </c>
      <c r="D20">
        <v>76</v>
      </c>
      <c r="E20" s="140"/>
      <c r="F20">
        <v>255</v>
      </c>
      <c r="G20">
        <v>203</v>
      </c>
      <c r="H20">
        <v>5</v>
      </c>
      <c r="I20" s="352"/>
      <c r="M20" s="4"/>
      <c r="Q20" s="4"/>
      <c r="U20" s="4"/>
      <c r="Y20" s="4"/>
      <c r="Z20">
        <f t="shared" si="0"/>
        <v>0</v>
      </c>
      <c r="AA20">
        <f t="shared" si="1"/>
        <v>0</v>
      </c>
      <c r="AB20">
        <f t="shared" si="2"/>
        <v>127.5</v>
      </c>
      <c r="AC20" s="26"/>
      <c r="AD20">
        <f t="shared" si="3"/>
        <v>255</v>
      </c>
      <c r="AE20">
        <f t="shared" si="4"/>
        <v>255</v>
      </c>
      <c r="AF20">
        <f t="shared" si="5"/>
        <v>0</v>
      </c>
      <c r="AG20" s="9"/>
      <c r="AH20">
        <f t="shared" si="6"/>
        <v>0</v>
      </c>
      <c r="AI20">
        <f t="shared" si="7"/>
        <v>0</v>
      </c>
      <c r="AJ20">
        <f t="shared" si="8"/>
        <v>0</v>
      </c>
      <c r="AK20" s="4"/>
      <c r="AL20">
        <f>SQRT((2+(($AL$3+Table4[[#This Row],[Red]])/2)/256)*($AL$3-Table4[[#This Row],[Red]])^2 + 4*($AM$3-Table4[[#This Row],[Green]])^2 + (2+(255-(($AL$3+Table4[[#This Row],[Red]])/2))/256 )*($AN$3-Table4[[#This Row],[Blue]])^2)</f>
        <v>535.80613732662209</v>
      </c>
      <c r="AM20">
        <f>SQRT((2+(($AO$3+Table4[[#This Row],[Red2]])/2)/256)*($AO$3-Table4[[#This Row],[Red2]])^2 + 4*($AP$3-Table4[[#This Row],[Green2]])^2 + (2+(255-(($AO$3+Table4[[#This Row],[Red2]])/2))/256 )*($AQ$3-Table4[[#This Row],[Blue2]])^2)</f>
        <v>572.13105947741553</v>
      </c>
      <c r="AN20">
        <f>SQRT(Table4[[#This Row],[diffPrimary]]^2+Table4[[#This Row],[diffSecondary]]^2)</f>
        <v>783.85085699744252</v>
      </c>
      <c r="AO20" s="2">
        <f>SQRT((2+(($AL$3+Table4[[#This Row],[Red2]])/2)/256)*($AL$3-Table4[[#This Row],[Red2]])^2 + 4*($AM$3-Table4[[#This Row],[Green2]])^2 + (2+(255-(($AL$3+Table4[[#This Row],[Red2]])/2))/256 )*($AN$3-Table4[[#This Row],[Blue2]])^2)</f>
        <v>8.1240384046359608</v>
      </c>
      <c r="AP20" s="2">
        <f>SQRT((2+(($AO$3+Table4[[#This Row],[Red]])/2)/256)*($AO$3-Table4[[#This Row],[Red]])^2 + 4*($AP$3-Table4[[#This Row],[Green]])^2 + (2+(255-(($AO$3+Table4[[#This Row],[Red]])/2))/256 )*($AQ$3-Table4[[#This Row],[Blue]])^2)</f>
        <v>152.93605689960756</v>
      </c>
      <c r="AQ20" s="2">
        <f>SQRT(Table4[[#This Row],[diffPrimary2]]^2+Table4[[#This Row],[diffSecondary2]]^2)</f>
        <v>153.15168134891633</v>
      </c>
      <c r="AR20" s="786">
        <f>MIN(Table4[[#This Row],[MinOrig]],Table4[[#This Row],[MinSwap]])</f>
        <v>153.15168134891633</v>
      </c>
      <c r="AS20" s="2">
        <v>33.935370559344101</v>
      </c>
      <c r="AU20">
        <v>60</v>
      </c>
      <c r="AV20">
        <v>151</v>
      </c>
      <c r="AW20">
        <v>210</v>
      </c>
      <c r="AX20" s="653"/>
      <c r="AY20" t="s">
        <v>386</v>
      </c>
      <c r="AZ20" s="46"/>
      <c r="BA20" t="s">
        <v>374</v>
      </c>
      <c r="BB20" s="690"/>
      <c r="BC20" t="s">
        <v>492</v>
      </c>
    </row>
    <row r="21" spans="1:55" x14ac:dyDescent="0.25">
      <c r="A21" t="s">
        <v>269</v>
      </c>
      <c r="B21">
        <v>84</v>
      </c>
      <c r="C21">
        <v>38</v>
      </c>
      <c r="D21">
        <v>26</v>
      </c>
      <c r="E21" s="499"/>
      <c r="F21">
        <v>255</v>
      </c>
      <c r="G21">
        <v>199</v>
      </c>
      <c r="H21">
        <v>38</v>
      </c>
      <c r="I21" s="500"/>
      <c r="J21">
        <v>189</v>
      </c>
      <c r="K21">
        <v>182</v>
      </c>
      <c r="L21">
        <v>176</v>
      </c>
      <c r="M21" s="501"/>
      <c r="Q21" s="4"/>
      <c r="U21" s="4"/>
      <c r="Y21" s="4"/>
      <c r="Z21">
        <f t="shared" si="0"/>
        <v>127.5</v>
      </c>
      <c r="AA21">
        <f t="shared" si="1"/>
        <v>0</v>
      </c>
      <c r="AB21">
        <f t="shared" si="2"/>
        <v>0</v>
      </c>
      <c r="AC21" s="27"/>
      <c r="AD21">
        <f t="shared" si="3"/>
        <v>255</v>
      </c>
      <c r="AE21">
        <f t="shared" si="4"/>
        <v>255</v>
      </c>
      <c r="AF21">
        <f t="shared" si="5"/>
        <v>0</v>
      </c>
      <c r="AG21" s="9"/>
      <c r="AH21">
        <f t="shared" si="6"/>
        <v>127.5</v>
      </c>
      <c r="AI21">
        <f t="shared" si="7"/>
        <v>127.5</v>
      </c>
      <c r="AJ21">
        <f t="shared" si="8"/>
        <v>127.5</v>
      </c>
      <c r="AK21" s="32"/>
      <c r="AL21">
        <f>SQRT((2+(($AL$3+Table4[[#This Row],[Red]])/2)/256)*($AL$3-Table4[[#This Row],[Red]])^2 + 4*($AM$3-Table4[[#This Row],[Green]])^2 + (2+(255-(($AL$3+Table4[[#This Row],[Red]])/2))/256 )*($AN$3-Table4[[#This Row],[Blue]])^2)</f>
        <v>437.00859679401617</v>
      </c>
      <c r="AM21">
        <f>SQRT((2+(($AO$3+Table4[[#This Row],[Red2]])/2)/256)*($AO$3-Table4[[#This Row],[Red2]])^2 + 4*($AP$3-Table4[[#This Row],[Green2]])^2 + (2+(255-(($AO$3+Table4[[#This Row],[Red2]])/2))/256 )*($AQ$3-Table4[[#This Row],[Blue2]])^2)</f>
        <v>569.60221008557801</v>
      </c>
      <c r="AN21">
        <f>SQRT(Table4[[#This Row],[diffPrimary]]^2+Table4[[#This Row],[diffSecondary]]^2)</f>
        <v>717.92979559720879</v>
      </c>
      <c r="AO21" s="2">
        <f>SQRT((2+(($AL$3+Table4[[#This Row],[Red2]])/2)/256)*($AL$3-Table4[[#This Row],[Red2]])^2 + 4*($AM$3-Table4[[#This Row],[Green2]])^2 + (2+(255-(($AL$3+Table4[[#This Row],[Red2]])/2))/256 )*($AN$3-Table4[[#This Row],[Blue2]])^2)</f>
        <v>55.063599591744818</v>
      </c>
      <c r="AP21" s="2">
        <f>SQRT((2+(($AO$3+Table4[[#This Row],[Red]])/2)/256)*($AO$3-Table4[[#This Row],[Red]])^2 + 4*($AP$3-Table4[[#This Row],[Green]])^2 + (2+(255-(($AO$3+Table4[[#This Row],[Red]])/2))/256 )*($AQ$3-Table4[[#This Row],[Blue]])^2)</f>
        <v>151.52583319355153</v>
      </c>
      <c r="AQ21" s="2">
        <f>SQRT(Table4[[#This Row],[diffPrimary2]]^2+Table4[[#This Row],[diffSecondary2]]^2)</f>
        <v>161.22058840297044</v>
      </c>
      <c r="AR21" s="786">
        <f>MIN(Table4[[#This Row],[MinOrig]],Table4[[#This Row],[MinSwap]])</f>
        <v>161.22058840297044</v>
      </c>
      <c r="AS21" s="2">
        <v>29.8336861303628</v>
      </c>
      <c r="AU21">
        <v>8</v>
      </c>
      <c r="AV21">
        <v>91</v>
      </c>
      <c r="AW21">
        <v>59</v>
      </c>
      <c r="AX21" s="654"/>
      <c r="AY21" t="s">
        <v>367</v>
      </c>
      <c r="AZ21" s="41"/>
      <c r="BA21" t="s">
        <v>367</v>
      </c>
      <c r="BB21" s="693"/>
      <c r="BC21" t="s">
        <v>493</v>
      </c>
    </row>
    <row r="22" spans="1:55" x14ac:dyDescent="0.25">
      <c r="A22" t="s">
        <v>339</v>
      </c>
      <c r="B22">
        <v>255</v>
      </c>
      <c r="C22">
        <v>197</v>
      </c>
      <c r="D22">
        <v>37</v>
      </c>
      <c r="E22" s="621"/>
      <c r="F22">
        <v>73</v>
      </c>
      <c r="G22">
        <v>47</v>
      </c>
      <c r="H22">
        <v>36</v>
      </c>
      <c r="I22" s="622"/>
      <c r="M22" s="4"/>
      <c r="Q22" s="4"/>
      <c r="U22" s="4"/>
      <c r="Y22" s="4"/>
      <c r="Z22">
        <f t="shared" si="0"/>
        <v>255</v>
      </c>
      <c r="AA22">
        <f t="shared" si="1"/>
        <v>255</v>
      </c>
      <c r="AB22">
        <f t="shared" si="2"/>
        <v>0</v>
      </c>
      <c r="AC22" s="9"/>
      <c r="AD22">
        <f t="shared" si="3"/>
        <v>127.5</v>
      </c>
      <c r="AE22">
        <f t="shared" si="4"/>
        <v>0</v>
      </c>
      <c r="AF22">
        <f t="shared" si="5"/>
        <v>0</v>
      </c>
      <c r="AG22" s="27"/>
      <c r="AH22">
        <f t="shared" si="6"/>
        <v>0</v>
      </c>
      <c r="AI22">
        <f t="shared" si="7"/>
        <v>0</v>
      </c>
      <c r="AJ22">
        <f t="shared" si="8"/>
        <v>0</v>
      </c>
      <c r="AK22" s="4"/>
      <c r="AL22">
        <f>SQRT((2+(($AL$3+Table4[[#This Row],[Red]])/2)/256)*($AL$3-Table4[[#This Row],[Red]])^2 + 4*($AM$3-Table4[[#This Row],[Green]])^2 + (2+(255-(($AL$3+Table4[[#This Row],[Red]])/2))/256 )*($AN$3-Table4[[#This Row],[Blue]])^2)</f>
        <v>54.717456081217811</v>
      </c>
      <c r="AM22">
        <f>SQRT((2+(($AO$3+Table4[[#This Row],[Red2]])/2)/256)*($AO$3-Table4[[#This Row],[Red2]])^2 + 4*($AP$3-Table4[[#This Row],[Green2]])^2 + (2+(255-(($AO$3+Table4[[#This Row],[Red2]])/2))/256 )*($AQ$3-Table4[[#This Row],[Blue2]])^2)</f>
        <v>154.76419184722607</v>
      </c>
      <c r="AN22">
        <f>SQRT(Table4[[#This Row],[diffPrimary]]^2+Table4[[#This Row],[diffSecondary]]^2)</f>
        <v>164.15223141378553</v>
      </c>
      <c r="AO22" s="2">
        <f>SQRT((2+(($AL$3+Table4[[#This Row],[Red2]])/2)/256)*($AL$3-Table4[[#This Row],[Red2]])^2 + 4*($AM$3-Table4[[#This Row],[Green2]])^2 + (2+(255-(($AL$3+Table4[[#This Row],[Red2]])/2))/256 )*($AN$3-Table4[[#This Row],[Blue2]])^2)</f>
        <v>436.32184222200016</v>
      </c>
      <c r="AP22" s="2">
        <f>SQRT((2+(($AO$3+Table4[[#This Row],[Red]])/2)/256)*($AO$3-Table4[[#This Row],[Red]])^2 + 4*($AP$3-Table4[[#This Row],[Green]])^2 + (2+(255-(($AO$3+Table4[[#This Row],[Red]])/2))/256 )*($AQ$3-Table4[[#This Row],[Blue]])^2)</f>
        <v>566.64920737503019</v>
      </c>
      <c r="AQ22" s="2">
        <f>SQRT(Table4[[#This Row],[diffPrimary2]]^2+Table4[[#This Row],[diffSecondary2]]^2)</f>
        <v>715.16996177045212</v>
      </c>
      <c r="AR22" s="786">
        <f>MIN(Table4[[#This Row],[MinOrig]],Table4[[#This Row],[MinSwap]])</f>
        <v>164.15223141378553</v>
      </c>
      <c r="AS22" s="2">
        <v>29.8336861303628</v>
      </c>
      <c r="AU22">
        <v>67</v>
      </c>
      <c r="AV22">
        <v>176</v>
      </c>
      <c r="AW22">
        <v>42</v>
      </c>
      <c r="AX22" s="550"/>
      <c r="AY22" t="s">
        <v>356</v>
      </c>
      <c r="AZ22" s="8"/>
      <c r="BA22" t="s">
        <v>356</v>
      </c>
      <c r="BB22" s="684"/>
      <c r="BC22" t="s">
        <v>494</v>
      </c>
    </row>
    <row r="23" spans="1:55" x14ac:dyDescent="0.25">
      <c r="A23" t="s">
        <v>20</v>
      </c>
      <c r="B23">
        <v>29</v>
      </c>
      <c r="C23">
        <v>60</v>
      </c>
      <c r="D23">
        <v>52</v>
      </c>
      <c r="E23" s="95"/>
      <c r="F23">
        <v>255</v>
      </c>
      <c r="G23">
        <v>184</v>
      </c>
      <c r="H23">
        <v>28</v>
      </c>
      <c r="I23" s="96"/>
      <c r="M23" s="4"/>
      <c r="Q23" s="4"/>
      <c r="U23" s="4"/>
      <c r="Y23" s="4"/>
      <c r="Z23">
        <f t="shared" si="0"/>
        <v>0</v>
      </c>
      <c r="AA23">
        <f t="shared" si="1"/>
        <v>0</v>
      </c>
      <c r="AB23">
        <f t="shared" si="2"/>
        <v>0</v>
      </c>
      <c r="AC23" s="4"/>
      <c r="AD23">
        <f t="shared" si="3"/>
        <v>255</v>
      </c>
      <c r="AE23">
        <f t="shared" si="4"/>
        <v>127.5</v>
      </c>
      <c r="AF23">
        <f t="shared" si="5"/>
        <v>0</v>
      </c>
      <c r="AG23" s="28"/>
      <c r="AH23">
        <f t="shared" si="6"/>
        <v>0</v>
      </c>
      <c r="AI23">
        <f t="shared" si="7"/>
        <v>0</v>
      </c>
      <c r="AJ23">
        <f t="shared" si="8"/>
        <v>0</v>
      </c>
      <c r="AK23" s="4"/>
      <c r="AL23">
        <f>SQRT((2+(($AL$3+Table4[[#This Row],[Red]])/2)/256)*($AL$3-Table4[[#This Row],[Red]])^2 + 4*($AM$3-Table4[[#This Row],[Green]])^2 + (2+(255-(($AL$3+Table4[[#This Row],[Red]])/2))/256 )*($AN$3-Table4[[#This Row],[Blue]])^2)</f>
        <v>470.30286119690999</v>
      </c>
      <c r="AM23">
        <f>SQRT((2+(($AO$3+Table4[[#This Row],[Red2]])/2)/256)*($AO$3-Table4[[#This Row],[Red2]])^2 + 4*($AP$3-Table4[[#This Row],[Green2]])^2 + (2+(255-(($AO$3+Table4[[#This Row],[Red2]])/2))/256 )*($AQ$3-Table4[[#This Row],[Blue2]])^2)</f>
        <v>547.55635947076257</v>
      </c>
      <c r="AN23">
        <f>SQRT(Table4[[#This Row],[diffPrimary]]^2+Table4[[#This Row],[diffSecondary]]^2)</f>
        <v>721.80520090040557</v>
      </c>
      <c r="AO23" s="2">
        <f>SQRT((2+(($AL$3+Table4[[#This Row],[Red2]])/2)/256)*($AL$3-Table4[[#This Row],[Red2]])^2 + 4*($AM$3-Table4[[#This Row],[Green2]])^2 + (2+(255-(($AL$3+Table4[[#This Row],[Red2]])/2))/256 )*($AN$3-Table4[[#This Row],[Blue2]])^2)</f>
        <v>57.723478758647246</v>
      </c>
      <c r="AP23" s="2">
        <f>SQRT((2+(($AO$3+Table4[[#This Row],[Red]])/2)/256)*($AO$3-Table4[[#This Row],[Red]])^2 + 4*($AP$3-Table4[[#This Row],[Green]])^2 + (2+(255-(($AO$3+Table4[[#This Row],[Red]])/2))/256 )*($AQ$3-Table4[[#This Row],[Blue]])^2)</f>
        <v>155.17060293633261</v>
      </c>
      <c r="AQ23" s="2">
        <f>SQRT(Table4[[#This Row],[diffPrimary2]]^2+Table4[[#This Row],[diffSecondary2]]^2)</f>
        <v>165.55940328360995</v>
      </c>
      <c r="AR23" s="786">
        <f>MIN(Table4[[#This Row],[MinOrig]],Table4[[#This Row],[MinSwap]])</f>
        <v>165.55940328360995</v>
      </c>
      <c r="AS23" s="2">
        <v>59.338426235661203</v>
      </c>
      <c r="AU23">
        <v>143</v>
      </c>
      <c r="AV23">
        <v>112</v>
      </c>
      <c r="AW23">
        <v>70</v>
      </c>
      <c r="AX23" s="655"/>
      <c r="AY23" t="s">
        <v>474</v>
      </c>
      <c r="AZ23" s="43"/>
      <c r="BA23" t="s">
        <v>366</v>
      </c>
      <c r="BB23" s="695"/>
      <c r="BC23" t="s">
        <v>495</v>
      </c>
    </row>
    <row r="24" spans="1:55" x14ac:dyDescent="0.25">
      <c r="A24" t="s">
        <v>335</v>
      </c>
      <c r="B24">
        <v>102</v>
      </c>
      <c r="C24">
        <v>0</v>
      </c>
      <c r="D24">
        <v>0</v>
      </c>
      <c r="E24" s="71"/>
      <c r="F24">
        <v>240</v>
      </c>
      <c r="G24">
        <v>179</v>
      </c>
      <c r="H24">
        <v>35</v>
      </c>
      <c r="I24" s="575"/>
      <c r="J24">
        <v>255</v>
      </c>
      <c r="K24">
        <v>255</v>
      </c>
      <c r="L24">
        <v>255</v>
      </c>
      <c r="M24" s="3"/>
      <c r="Q24" s="4"/>
      <c r="U24" s="4"/>
      <c r="Y24" s="4"/>
      <c r="Z24">
        <f t="shared" si="0"/>
        <v>127.5</v>
      </c>
      <c r="AA24">
        <f t="shared" si="1"/>
        <v>0</v>
      </c>
      <c r="AB24">
        <f t="shared" si="2"/>
        <v>0</v>
      </c>
      <c r="AC24" s="27"/>
      <c r="AD24">
        <f t="shared" si="3"/>
        <v>255</v>
      </c>
      <c r="AE24">
        <f t="shared" si="4"/>
        <v>127.5</v>
      </c>
      <c r="AF24">
        <f t="shared" si="5"/>
        <v>0</v>
      </c>
      <c r="AG24" s="28"/>
      <c r="AH24">
        <f t="shared" si="6"/>
        <v>255</v>
      </c>
      <c r="AI24">
        <f t="shared" si="7"/>
        <v>255</v>
      </c>
      <c r="AJ24">
        <f t="shared" si="8"/>
        <v>255</v>
      </c>
      <c r="AK24" s="3"/>
      <c r="AL24">
        <f>SQRT((2+(($AL$3+Table4[[#This Row],[Red]])/2)/256)*($AL$3-Table4[[#This Row],[Red]])^2 + 4*($AM$3-Table4[[#This Row],[Green]])^2 + (2+(255-(($AL$3+Table4[[#This Row],[Red]])/2))/256 )*($AN$3-Table4[[#This Row],[Blue]])^2)</f>
        <v>480.87450651456351</v>
      </c>
      <c r="AM24">
        <f>SQRT((2+(($AO$3+Table4[[#This Row],[Red2]])/2)/256)*($AO$3-Table4[[#This Row],[Red2]])^2 + 4*($AP$3-Table4[[#This Row],[Green2]])^2 + (2+(255-(($AO$3+Table4[[#This Row],[Red2]])/2))/256 )*($AQ$3-Table4[[#This Row],[Blue2]])^2)</f>
        <v>522.93402652127156</v>
      </c>
      <c r="AN24">
        <f>SQRT(Table4[[#This Row],[diffPrimary]]^2+Table4[[#This Row],[diffSecondary]]^2)</f>
        <v>710.42261162590739</v>
      </c>
      <c r="AO24" s="2">
        <f>SQRT((2+(($AL$3+Table4[[#This Row],[Red2]])/2)/256)*($AL$3-Table4[[#This Row],[Red2]])^2 + 4*($AM$3-Table4[[#This Row],[Green2]])^2 + (2+(255-(($AL$3+Table4[[#This Row],[Red2]])/2))/256 )*($AN$3-Table4[[#This Row],[Blue2]])^2)</f>
        <v>76.533770119797438</v>
      </c>
      <c r="AP24" s="2">
        <f>SQRT((2+(($AO$3+Table4[[#This Row],[Red]])/2)/256)*($AO$3-Table4[[#This Row],[Red]])^2 + 4*($AP$3-Table4[[#This Row],[Green]])^2 + (2+(255-(($AO$3+Table4[[#This Row],[Red]])/2))/256 )*($AQ$3-Table4[[#This Row],[Blue]])^2)</f>
        <v>151.26358410073456</v>
      </c>
      <c r="AQ24" s="2">
        <f>SQRT(Table4[[#This Row],[diffPrimary2]]^2+Table4[[#This Row],[diffSecondary2]]^2)</f>
        <v>169.52312480529019</v>
      </c>
      <c r="AR24" s="786">
        <f>MIN(Table4[[#This Row],[MinOrig]],Table4[[#This Row],[MinSwap]])</f>
        <v>169.52312480529019</v>
      </c>
      <c r="AS24" s="2">
        <v>79.127431341002094</v>
      </c>
      <c r="AU24">
        <v>234</v>
      </c>
      <c r="AV24">
        <v>213</v>
      </c>
      <c r="AW24">
        <v>156</v>
      </c>
      <c r="AX24" s="656"/>
      <c r="AY24" t="s">
        <v>475</v>
      </c>
      <c r="AZ24" s="6"/>
      <c r="BA24" t="s">
        <v>352</v>
      </c>
      <c r="BB24" s="682"/>
      <c r="BC24" t="s">
        <v>352</v>
      </c>
    </row>
    <row r="25" spans="1:55" x14ac:dyDescent="0.25">
      <c r="A25" t="s">
        <v>116</v>
      </c>
      <c r="B25">
        <v>244</v>
      </c>
      <c r="C25">
        <v>121</v>
      </c>
      <c r="D25">
        <v>32</v>
      </c>
      <c r="E25" s="290"/>
      <c r="F25">
        <v>0</v>
      </c>
      <c r="G25">
        <v>0</v>
      </c>
      <c r="H25">
        <v>0</v>
      </c>
      <c r="I25" s="4"/>
      <c r="J25">
        <v>247</v>
      </c>
      <c r="K25">
        <v>148</v>
      </c>
      <c r="L25">
        <v>30</v>
      </c>
      <c r="M25" s="291"/>
      <c r="Q25" s="4"/>
      <c r="U25" s="4"/>
      <c r="Y25" s="4"/>
      <c r="Z25">
        <f t="shared" si="0"/>
        <v>255</v>
      </c>
      <c r="AA25">
        <f t="shared" si="1"/>
        <v>127.5</v>
      </c>
      <c r="AB25">
        <f t="shared" si="2"/>
        <v>0</v>
      </c>
      <c r="AC25" s="28"/>
      <c r="AD25">
        <f t="shared" si="3"/>
        <v>0</v>
      </c>
      <c r="AE25">
        <f t="shared" si="4"/>
        <v>0</v>
      </c>
      <c r="AF25">
        <f t="shared" si="5"/>
        <v>0</v>
      </c>
      <c r="AG25" s="4"/>
      <c r="AH25">
        <f t="shared" si="6"/>
        <v>255</v>
      </c>
      <c r="AI25">
        <f t="shared" si="7"/>
        <v>127.5</v>
      </c>
      <c r="AJ25">
        <f t="shared" si="8"/>
        <v>0</v>
      </c>
      <c r="AK25" s="28"/>
      <c r="AL25">
        <f>SQRT((2+(($AL$3+Table4[[#This Row],[Red]])/2)/256)*($AL$3-Table4[[#This Row],[Red]])^2 + 4*($AM$3-Table4[[#This Row],[Green]])^2 + (2+(255-(($AL$3+Table4[[#This Row],[Red]])/2))/256 )*($AN$3-Table4[[#This Row],[Blue]])^2)</f>
        <v>175.08263116133193</v>
      </c>
      <c r="AM25">
        <f>SQRT((2+(($AO$3+Table4[[#This Row],[Red2]])/2)/256)*($AO$3-Table4[[#This Row],[Red2]])^2 + 4*($AP$3-Table4[[#This Row],[Green2]])^2 + (2+(255-(($AO$3+Table4[[#This Row],[Red2]])/2))/256 )*($AQ$3-Table4[[#This Row],[Blue2]])^2)</f>
        <v>0</v>
      </c>
      <c r="AN25">
        <f>SQRT(Table4[[#This Row],[diffPrimary]]^2+Table4[[#This Row],[diffSecondary]]^2)</f>
        <v>175.08263116133193</v>
      </c>
      <c r="AO25" s="2">
        <f>SQRT((2+(($AL$3+Table4[[#This Row],[Red2]])/2)/256)*($AL$3-Table4[[#This Row],[Red2]])^2 + 4*($AM$3-Table4[[#This Row],[Green2]])^2 + (2+(255-(($AL$3+Table4[[#This Row],[Red2]])/2))/256 )*($AN$3-Table4[[#This Row],[Blue2]])^2)</f>
        <v>574.92216694686158</v>
      </c>
      <c r="AP25" s="2">
        <f>SQRT((2+(($AO$3+Table4[[#This Row],[Red]])/2)/256)*($AO$3-Table4[[#This Row],[Red]])^2 + 4*($AP$3-Table4[[#This Row],[Green]])^2 + (2+(255-(($AO$3+Table4[[#This Row],[Red]])/2))/256 )*($AQ$3-Table4[[#This Row],[Blue]])^2)</f>
        <v>456.71503697601202</v>
      </c>
      <c r="AQ25" s="2">
        <f>SQRT(Table4[[#This Row],[diffPrimary2]]^2+Table4[[#This Row],[diffSecondary2]]^2)</f>
        <v>734.25072219704009</v>
      </c>
      <c r="AR25" s="786">
        <f>MIN(Table4[[#This Row],[MinOrig]],Table4[[#This Row],[MinSwap]])</f>
        <v>175.08263116133193</v>
      </c>
      <c r="AS25" s="2">
        <v>40.717922574095098</v>
      </c>
      <c r="AU25">
        <v>90</v>
      </c>
      <c r="AV25">
        <v>99</v>
      </c>
      <c r="AW25">
        <v>102</v>
      </c>
      <c r="AX25" s="657"/>
      <c r="AY25" t="s">
        <v>476</v>
      </c>
      <c r="AZ25" s="52"/>
      <c r="BA25" t="s">
        <v>386</v>
      </c>
      <c r="BB25" s="678"/>
      <c r="BC25" t="s">
        <v>385</v>
      </c>
    </row>
    <row r="26" spans="1:55" x14ac:dyDescent="0.25">
      <c r="A26" t="s">
        <v>60</v>
      </c>
      <c r="B26">
        <v>0</v>
      </c>
      <c r="C26">
        <v>48</v>
      </c>
      <c r="D26">
        <v>86</v>
      </c>
      <c r="E26" s="193"/>
      <c r="F26">
        <v>255</v>
      </c>
      <c r="G26">
        <v>201</v>
      </c>
      <c r="H26">
        <v>21</v>
      </c>
      <c r="I26" s="194"/>
      <c r="M26" s="4"/>
      <c r="Q26" s="4"/>
      <c r="U26" s="4"/>
      <c r="Y26" s="4"/>
      <c r="Z26">
        <f t="shared" si="0"/>
        <v>0</v>
      </c>
      <c r="AA26">
        <f t="shared" si="1"/>
        <v>0</v>
      </c>
      <c r="AB26">
        <f t="shared" si="2"/>
        <v>127.5</v>
      </c>
      <c r="AC26" s="26"/>
      <c r="AD26">
        <f t="shared" si="3"/>
        <v>255</v>
      </c>
      <c r="AE26">
        <f t="shared" si="4"/>
        <v>255</v>
      </c>
      <c r="AF26">
        <f t="shared" si="5"/>
        <v>0</v>
      </c>
      <c r="AG26" s="9"/>
      <c r="AH26">
        <f t="shared" si="6"/>
        <v>0</v>
      </c>
      <c r="AI26">
        <f t="shared" si="7"/>
        <v>0</v>
      </c>
      <c r="AJ26">
        <f t="shared" si="8"/>
        <v>0</v>
      </c>
      <c r="AK26" s="4"/>
      <c r="AL26">
        <f>SQRT((2+(($AL$3+Table4[[#This Row],[Red]])/2)/256)*($AL$3-Table4[[#This Row],[Red]])^2 + 4*($AM$3-Table4[[#This Row],[Green]])^2 + (2+(255-(($AL$3+Table4[[#This Row],[Red]])/2))/256 )*($AN$3-Table4[[#This Row],[Blue]])^2)</f>
        <v>528.68426563911942</v>
      </c>
      <c r="AM26">
        <f>SQRT((2+(($AO$3+Table4[[#This Row],[Red2]])/2)/256)*($AO$3-Table4[[#This Row],[Red2]])^2 + 4*($AP$3-Table4[[#This Row],[Green2]])^2 + (2+(255-(($AO$3+Table4[[#This Row],[Red2]])/2))/256 )*($AQ$3-Table4[[#This Row],[Blue2]])^2)</f>
        <v>570.21148420454494</v>
      </c>
      <c r="AN26">
        <f>SQRT(Table4[[#This Row],[diffPrimary]]^2+Table4[[#This Row],[diffSecondary]]^2)</f>
        <v>777.59127403355353</v>
      </c>
      <c r="AO26" s="2">
        <f>SQRT((2+(($AL$3+Table4[[#This Row],[Red2]])/2)/256)*($AL$3-Table4[[#This Row],[Red2]])^2 + 4*($AM$3-Table4[[#This Row],[Green2]])^2 + (2+(255-(($AL$3+Table4[[#This Row],[Red2]])/2))/256 )*($AN$3-Table4[[#This Row],[Blue2]])^2)</f>
        <v>30.757112998459398</v>
      </c>
      <c r="AP26" s="2">
        <f>SQRT((2+(($AO$3+Table4[[#This Row],[Red]])/2)/256)*($AO$3-Table4[[#This Row],[Red]])^2 + 4*($AP$3-Table4[[#This Row],[Green]])^2 + (2+(255-(($AO$3+Table4[[#This Row],[Red]])/2))/256 )*($AQ$3-Table4[[#This Row],[Blue]])^2)</f>
        <v>177.13020458126277</v>
      </c>
      <c r="AQ26" s="2">
        <f>SQRT(Table4[[#This Row],[diffPrimary2]]^2+Table4[[#This Row],[diffSecondary2]]^2)</f>
        <v>179.78072581620088</v>
      </c>
      <c r="AR26" s="786">
        <f>MIN(Table4[[#This Row],[MinOrig]],Table4[[#This Row],[MinSwap]])</f>
        <v>179.78072581620088</v>
      </c>
      <c r="AS26" s="2">
        <v>33.935370559344101</v>
      </c>
      <c r="AU26">
        <v>148</v>
      </c>
      <c r="AV26">
        <v>29</v>
      </c>
      <c r="AW26">
        <v>52</v>
      </c>
      <c r="AX26" s="658"/>
      <c r="AY26" t="s">
        <v>477</v>
      </c>
      <c r="AZ26" s="39"/>
      <c r="BA26" t="s">
        <v>353</v>
      </c>
      <c r="BB26" s="687"/>
      <c r="BC26" t="s">
        <v>353</v>
      </c>
    </row>
    <row r="27" spans="1:55" x14ac:dyDescent="0.25">
      <c r="A27" t="s">
        <v>218</v>
      </c>
      <c r="B27">
        <v>18</v>
      </c>
      <c r="C27">
        <v>71</v>
      </c>
      <c r="D27">
        <v>52</v>
      </c>
      <c r="E27" s="437"/>
      <c r="F27">
        <v>254</v>
      </c>
      <c r="G27">
        <v>225</v>
      </c>
      <c r="H27">
        <v>35</v>
      </c>
      <c r="I27" s="438"/>
      <c r="M27" s="4"/>
      <c r="Q27" s="4"/>
      <c r="U27" s="4"/>
      <c r="Y27" s="4"/>
      <c r="Z27">
        <f t="shared" si="0"/>
        <v>0</v>
      </c>
      <c r="AA27">
        <f t="shared" si="1"/>
        <v>127.5</v>
      </c>
      <c r="AB27">
        <f t="shared" si="2"/>
        <v>0</v>
      </c>
      <c r="AC27" s="34"/>
      <c r="AD27">
        <f t="shared" si="3"/>
        <v>255</v>
      </c>
      <c r="AE27">
        <f t="shared" si="4"/>
        <v>255</v>
      </c>
      <c r="AF27">
        <f t="shared" si="5"/>
        <v>0</v>
      </c>
      <c r="AG27" s="9"/>
      <c r="AH27">
        <f t="shared" si="6"/>
        <v>0</v>
      </c>
      <c r="AI27">
        <f t="shared" si="7"/>
        <v>0</v>
      </c>
      <c r="AJ27">
        <f t="shared" si="8"/>
        <v>0</v>
      </c>
      <c r="AK27" s="4"/>
      <c r="AL27">
        <f>SQRT((2+(($AL$3+Table4[[#This Row],[Red]])/2)/256)*($AL$3-Table4[[#This Row],[Red]])^2 + 4*($AM$3-Table4[[#This Row],[Green]])^2 + (2+(255-(($AL$3+Table4[[#This Row],[Red]])/2))/256 )*($AN$3-Table4[[#This Row],[Blue]])^2)</f>
        <v>469.86289763943375</v>
      </c>
      <c r="AM27">
        <f>SQRT((2+(($AO$3+Table4[[#This Row],[Red2]])/2)/256)*($AO$3-Table4[[#This Row],[Red2]])^2 + 4*($AP$3-Table4[[#This Row],[Green2]])^2 + (2+(255-(($AO$3+Table4[[#This Row],[Red2]])/2))/256 )*($AQ$3-Table4[[#This Row],[Blue2]])^2)</f>
        <v>605.47542012454971</v>
      </c>
      <c r="AN27">
        <f>SQRT(Table4[[#This Row],[diffPrimary]]^2+Table4[[#This Row],[diffSecondary]]^2)</f>
        <v>766.40173992047085</v>
      </c>
      <c r="AO27" s="2">
        <f>SQRT((2+(($AL$3+Table4[[#This Row],[Red2]])/2)/256)*($AL$3-Table4[[#This Row],[Red2]])^2 + 4*($AM$3-Table4[[#This Row],[Green2]])^2 + (2+(255-(($AL$3+Table4[[#This Row],[Red2]])/2))/256 )*($AN$3-Table4[[#This Row],[Blue2]])^2)</f>
        <v>63.681918303000266</v>
      </c>
      <c r="AP27" s="2">
        <f>SQRT((2+(($AO$3+Table4[[#This Row],[Red]])/2)/256)*($AO$3-Table4[[#This Row],[Red]])^2 + 4*($AP$3-Table4[[#This Row],[Green]])^2 + (2+(255-(($AO$3+Table4[[#This Row],[Red]])/2))/256 )*($AQ$3-Table4[[#This Row],[Blue]])^2)</f>
        <v>169.79330265060517</v>
      </c>
      <c r="AQ27" s="2">
        <f>SQRT(Table4[[#This Row],[diffPrimary2]]^2+Table4[[#This Row],[diffSecondary2]]^2)</f>
        <v>181.34263796402104</v>
      </c>
      <c r="AR27" s="786">
        <f>MIN(Table4[[#This Row],[MinOrig]],Table4[[#This Row],[MinSwap]])</f>
        <v>181.34263796402104</v>
      </c>
      <c r="AS27" s="2">
        <v>86.960895036935995</v>
      </c>
      <c r="AU27">
        <v>249</v>
      </c>
      <c r="AV27">
        <v>191</v>
      </c>
      <c r="AW27">
        <v>4</v>
      </c>
      <c r="AX27" s="659"/>
      <c r="AY27" t="s">
        <v>354</v>
      </c>
      <c r="AZ27" s="9"/>
      <c r="BA27" t="s">
        <v>354</v>
      </c>
      <c r="BB27" s="680"/>
      <c r="BC27" t="s">
        <v>496</v>
      </c>
    </row>
    <row r="28" spans="1:55" x14ac:dyDescent="0.25">
      <c r="A28" t="s">
        <v>294</v>
      </c>
      <c r="B28">
        <v>255</v>
      </c>
      <c r="C28">
        <v>187</v>
      </c>
      <c r="D28">
        <v>0</v>
      </c>
      <c r="E28" s="547"/>
      <c r="F28">
        <v>60</v>
      </c>
      <c r="G28">
        <v>60</v>
      </c>
      <c r="H28">
        <v>60</v>
      </c>
      <c r="I28" s="548"/>
      <c r="J28">
        <v>255</v>
      </c>
      <c r="K28">
        <v>255</v>
      </c>
      <c r="L28">
        <v>255</v>
      </c>
      <c r="M28" s="3"/>
      <c r="N28">
        <v>210</v>
      </c>
      <c r="O28">
        <v>210</v>
      </c>
      <c r="P28">
        <v>210</v>
      </c>
      <c r="Q28" s="346"/>
      <c r="U28" s="4"/>
      <c r="Y28" s="4"/>
      <c r="Z28">
        <f t="shared" si="0"/>
        <v>255</v>
      </c>
      <c r="AA28">
        <f t="shared" si="1"/>
        <v>127.5</v>
      </c>
      <c r="AB28">
        <f t="shared" si="2"/>
        <v>0</v>
      </c>
      <c r="AC28" s="28"/>
      <c r="AD28">
        <f t="shared" si="3"/>
        <v>0</v>
      </c>
      <c r="AE28">
        <f t="shared" si="4"/>
        <v>0</v>
      </c>
      <c r="AF28">
        <f t="shared" si="5"/>
        <v>0</v>
      </c>
      <c r="AG28" s="4"/>
      <c r="AH28">
        <f t="shared" si="6"/>
        <v>255</v>
      </c>
      <c r="AI28">
        <f t="shared" si="7"/>
        <v>255</v>
      </c>
      <c r="AJ28">
        <f t="shared" si="8"/>
        <v>255</v>
      </c>
      <c r="AK28" s="3"/>
      <c r="AL28">
        <f>SQRT((2+(($AL$3+Table4[[#This Row],[Red]])/2)/256)*($AL$3-Table4[[#This Row],[Red]])^2 + 4*($AM$3-Table4[[#This Row],[Green]])^2 + (2+(255-(($AL$3+Table4[[#This Row],[Red]])/2))/256 )*($AN$3-Table4[[#This Row],[Blue]])^2)</f>
        <v>36</v>
      </c>
      <c r="AM28">
        <f>SQRT((2+(($AO$3+Table4[[#This Row],[Red2]])/2)/256)*($AO$3-Table4[[#This Row],[Red2]])^2 + 4*($AP$3-Table4[[#This Row],[Green2]])^2 + (2+(255-(($AO$3+Table4[[#This Row],[Red2]])/2))/256 )*($AQ$3-Table4[[#This Row],[Blue2]])^2)</f>
        <v>179.96093326052741</v>
      </c>
      <c r="AN28">
        <f>SQRT(Table4[[#This Row],[diffPrimary]]^2+Table4[[#This Row],[diffSecondary]]^2)</f>
        <v>183.52639455947474</v>
      </c>
      <c r="AO28" s="2">
        <f>SQRT((2+(($AL$3+Table4[[#This Row],[Red2]])/2)/256)*($AL$3-Table4[[#This Row],[Red2]])^2 + 4*($AM$3-Table4[[#This Row],[Green2]])^2 + (2+(255-(($AL$3+Table4[[#This Row],[Red2]])/2))/256 )*($AN$3-Table4[[#This Row],[Blue2]])^2)</f>
        <v>438.3096860204837</v>
      </c>
      <c r="AP28" s="2">
        <f>SQRT((2+(($AO$3+Table4[[#This Row],[Red]])/2)/256)*($AO$3-Table4[[#This Row],[Red]])^2 + 4*($AP$3-Table4[[#This Row],[Green]])^2 + (2+(255-(($AO$3+Table4[[#This Row],[Red]])/2))/256 )*($AQ$3-Table4[[#This Row],[Blue]])^2)</f>
        <v>549.82860788328844</v>
      </c>
      <c r="AQ28" s="2">
        <f>SQRT(Table4[[#This Row],[diffPrimary2]]^2+Table4[[#This Row],[diffSecondary2]]^2)</f>
        <v>703.15494658449916</v>
      </c>
      <c r="AR28" s="786">
        <f>MIN(Table4[[#This Row],[MinOrig]],Table4[[#This Row],[MinSwap]])</f>
        <v>183.52639455947474</v>
      </c>
      <c r="AS28" s="2">
        <v>62.238845009567797</v>
      </c>
      <c r="AU28">
        <v>194</v>
      </c>
      <c r="AV28">
        <v>141</v>
      </c>
      <c r="AW28">
        <v>8</v>
      </c>
      <c r="AX28" s="660"/>
      <c r="AY28" t="s">
        <v>407</v>
      </c>
      <c r="AZ28" s="49"/>
      <c r="BA28" t="s">
        <v>378</v>
      </c>
      <c r="BB28" s="688"/>
      <c r="BC28" t="s">
        <v>497</v>
      </c>
    </row>
    <row r="29" spans="1:55" x14ac:dyDescent="0.25">
      <c r="A29" t="s">
        <v>328</v>
      </c>
      <c r="B29">
        <v>0</v>
      </c>
      <c r="C29">
        <v>40</v>
      </c>
      <c r="D29">
        <v>85</v>
      </c>
      <c r="E29" s="160"/>
      <c r="F29">
        <v>234</v>
      </c>
      <c r="G29">
        <v>170</v>
      </c>
      <c r="H29">
        <v>0</v>
      </c>
      <c r="I29" s="492"/>
      <c r="M29" s="4"/>
      <c r="Q29" s="4"/>
      <c r="U29" s="4"/>
      <c r="Y29" s="4"/>
      <c r="Z29">
        <f t="shared" si="0"/>
        <v>0</v>
      </c>
      <c r="AA29">
        <f t="shared" si="1"/>
        <v>0</v>
      </c>
      <c r="AB29">
        <f t="shared" si="2"/>
        <v>127.5</v>
      </c>
      <c r="AC29" s="26"/>
      <c r="AD29">
        <f t="shared" si="3"/>
        <v>255</v>
      </c>
      <c r="AE29">
        <f t="shared" si="4"/>
        <v>127.5</v>
      </c>
      <c r="AF29">
        <f t="shared" si="5"/>
        <v>0</v>
      </c>
      <c r="AG29" s="28"/>
      <c r="AH29">
        <f t="shared" si="6"/>
        <v>0</v>
      </c>
      <c r="AI29">
        <f t="shared" si="7"/>
        <v>0</v>
      </c>
      <c r="AJ29">
        <f t="shared" si="8"/>
        <v>0</v>
      </c>
      <c r="AK29" s="4"/>
      <c r="AL29">
        <f>SQRT((2+(($AL$3+Table4[[#This Row],[Red]])/2)/256)*($AL$3-Table4[[#This Row],[Red]])^2 + 4*($AM$3-Table4[[#This Row],[Green]])^2 + (2+(255-(($AL$3+Table4[[#This Row],[Red]])/2))/256 )*($AN$3-Table4[[#This Row],[Blue]])^2)</f>
        <v>537.94412973723399</v>
      </c>
      <c r="AM29">
        <f>SQRT((2+(($AO$3+Table4[[#This Row],[Red2]])/2)/256)*($AO$3-Table4[[#This Row],[Red2]])^2 + 4*($AP$3-Table4[[#This Row],[Green2]])^2 + (2+(255-(($AO$3+Table4[[#This Row],[Red2]])/2))/256 )*($AQ$3-Table4[[#This Row],[Blue2]])^2)</f>
        <v>500.13718430546635</v>
      </c>
      <c r="AN29">
        <f>SQRT(Table4[[#This Row],[diffPrimary]]^2+Table4[[#This Row],[diffSecondary]]^2)</f>
        <v>734.52099346700095</v>
      </c>
      <c r="AO29" s="2">
        <f>SQRT((2+(($AL$3+Table4[[#This Row],[Red2]])/2)/256)*($AL$3-Table4[[#This Row],[Red2]])^2 + 4*($AM$3-Table4[[#This Row],[Green2]])^2 + (2+(255-(($AL$3+Table4[[#This Row],[Red2]])/2))/256 )*($AN$3-Table4[[#This Row],[Blue2]])^2)</f>
        <v>78.760329183701359</v>
      </c>
      <c r="AP29" s="2">
        <f>SQRT((2+(($AO$3+Table4[[#This Row],[Red]])/2)/256)*($AO$3-Table4[[#This Row],[Red]])^2 + 4*($AP$3-Table4[[#This Row],[Green]])^2 + (2+(255-(($AO$3+Table4[[#This Row],[Red]])/2))/256 )*($AQ$3-Table4[[#This Row],[Blue]])^2)</f>
        <v>167.47172102701398</v>
      </c>
      <c r="AQ29" s="2">
        <f>SQRT(Table4[[#This Row],[diffPrimary2]]^2+Table4[[#This Row],[diffSecondary2]]^2)</f>
        <v>185.06746552777719</v>
      </c>
      <c r="AR29" s="786">
        <f>MIN(Table4[[#This Row],[MinOrig]],Table4[[#This Row],[MinSwap]])</f>
        <v>185.06746552777719</v>
      </c>
      <c r="AS29" s="2">
        <v>56.889489912461002</v>
      </c>
      <c r="AU29">
        <v>3</v>
      </c>
      <c r="AV29">
        <v>51</v>
      </c>
      <c r="AW29">
        <v>112</v>
      </c>
      <c r="AX29" s="661"/>
      <c r="AY29" t="s">
        <v>478</v>
      </c>
      <c r="AZ29" s="7"/>
      <c r="BA29" t="s">
        <v>355</v>
      </c>
      <c r="BB29" s="685"/>
      <c r="BC29" t="s">
        <v>355</v>
      </c>
    </row>
    <row r="30" spans="1:55" x14ac:dyDescent="0.25">
      <c r="A30" t="s">
        <v>141</v>
      </c>
      <c r="B30">
        <v>51</v>
      </c>
      <c r="C30">
        <v>30</v>
      </c>
      <c r="D30">
        <v>84</v>
      </c>
      <c r="E30" s="329"/>
      <c r="F30">
        <v>244</v>
      </c>
      <c r="G30">
        <v>170</v>
      </c>
      <c r="H30">
        <v>0</v>
      </c>
      <c r="I30" s="330"/>
      <c r="J30">
        <v>0</v>
      </c>
      <c r="K30">
        <v>0</v>
      </c>
      <c r="L30">
        <v>0</v>
      </c>
      <c r="M30" s="4"/>
      <c r="Q30" s="4"/>
      <c r="U30" s="4"/>
      <c r="Y30" s="4"/>
      <c r="Z30">
        <f t="shared" si="0"/>
        <v>0</v>
      </c>
      <c r="AA30">
        <f t="shared" si="1"/>
        <v>0</v>
      </c>
      <c r="AB30">
        <f t="shared" si="2"/>
        <v>127.5</v>
      </c>
      <c r="AC30" s="26"/>
      <c r="AD30">
        <f t="shared" si="3"/>
        <v>255</v>
      </c>
      <c r="AE30">
        <f t="shared" si="4"/>
        <v>127.5</v>
      </c>
      <c r="AF30">
        <f t="shared" si="5"/>
        <v>0</v>
      </c>
      <c r="AG30" s="28"/>
      <c r="AH30">
        <f t="shared" si="6"/>
        <v>0</v>
      </c>
      <c r="AI30">
        <f t="shared" si="7"/>
        <v>0</v>
      </c>
      <c r="AJ30">
        <f t="shared" si="8"/>
        <v>0</v>
      </c>
      <c r="AK30" s="4"/>
      <c r="AL30">
        <f>SQRT((2+(($AL$3+Table4[[#This Row],[Red]])/2)/256)*($AL$3-Table4[[#This Row],[Red]])^2 + 4*($AM$3-Table4[[#This Row],[Green]])^2 + (2+(255-(($AL$3+Table4[[#This Row],[Red]])/2))/256 )*($AN$3-Table4[[#This Row],[Blue]])^2)</f>
        <v>497.52129351415704</v>
      </c>
      <c r="AM30">
        <f>SQRT((2+(($AO$3+Table4[[#This Row],[Red2]])/2)/256)*($AO$3-Table4[[#This Row],[Red2]])^2 + 4*($AP$3-Table4[[#This Row],[Green2]])^2 + (2+(255-(($AO$3+Table4[[#This Row],[Red2]])/2))/256 )*($AQ$3-Table4[[#This Row],[Blue2]])^2)</f>
        <v>512.87876247705947</v>
      </c>
      <c r="AN30">
        <f>SQRT(Table4[[#This Row],[diffPrimary]]^2+Table4[[#This Row],[diffSecondary]]^2)</f>
        <v>714.54325446399673</v>
      </c>
      <c r="AO30" s="2">
        <f>SQRT((2+(($AL$3+Table4[[#This Row],[Red2]])/2)/256)*($AL$3-Table4[[#This Row],[Red2]])^2 + 4*($AM$3-Table4[[#This Row],[Green2]])^2 + (2+(255-(($AL$3+Table4[[#This Row],[Red2]])/2))/256 )*($AN$3-Table4[[#This Row],[Blue2]])^2)</f>
        <v>72.525359250230537</v>
      </c>
      <c r="AP30" s="2">
        <f>SQRT((2+(($AO$3+Table4[[#This Row],[Red]])/2)/256)*($AO$3-Table4[[#This Row],[Red]])^2 + 4*($AP$3-Table4[[#This Row],[Green]])^2 + (2+(255-(($AO$3+Table4[[#This Row],[Red]])/2))/256 )*($AQ$3-Table4[[#This Row],[Blue]])^2)</f>
        <v>171.75179106598858</v>
      </c>
      <c r="AQ30" s="2">
        <f>SQRT(Table4[[#This Row],[diffPrimary2]]^2+Table4[[#This Row],[diffSecondary2]]^2)</f>
        <v>186.43659905917079</v>
      </c>
      <c r="AR30" s="786">
        <f>MIN(Table4[[#This Row],[MinOrig]],Table4[[#This Row],[MinSwap]])</f>
        <v>186.43659905917079</v>
      </c>
      <c r="AS30" s="2">
        <v>58.982419255656197</v>
      </c>
      <c r="AU30">
        <v>3</v>
      </c>
      <c r="AV30">
        <v>132</v>
      </c>
      <c r="AW30">
        <v>83</v>
      </c>
      <c r="AX30" s="662"/>
      <c r="AY30" t="s">
        <v>408</v>
      </c>
      <c r="AZ30" s="45"/>
      <c r="BA30" t="s">
        <v>365</v>
      </c>
      <c r="BB30" s="697"/>
      <c r="BC30" t="s">
        <v>365</v>
      </c>
    </row>
    <row r="31" spans="1:55" x14ac:dyDescent="0.25">
      <c r="A31" t="s">
        <v>44</v>
      </c>
      <c r="B31">
        <v>106</v>
      </c>
      <c r="C31">
        <v>0</v>
      </c>
      <c r="D31">
        <v>50</v>
      </c>
      <c r="E31" s="154"/>
      <c r="F31">
        <v>255</v>
      </c>
      <c r="G31">
        <v>200</v>
      </c>
      <c r="H31">
        <v>46</v>
      </c>
      <c r="I31" s="155"/>
      <c r="M31" s="4"/>
      <c r="Q31" s="4"/>
      <c r="U31" s="4"/>
      <c r="Y31" s="4"/>
      <c r="Z31">
        <f t="shared" si="0"/>
        <v>127.5</v>
      </c>
      <c r="AA31">
        <f t="shared" si="1"/>
        <v>0</v>
      </c>
      <c r="AB31">
        <f t="shared" si="2"/>
        <v>0</v>
      </c>
      <c r="AC31" s="27"/>
      <c r="AD31">
        <f t="shared" si="3"/>
        <v>255</v>
      </c>
      <c r="AE31">
        <f t="shared" si="4"/>
        <v>255</v>
      </c>
      <c r="AF31">
        <f t="shared" si="5"/>
        <v>0</v>
      </c>
      <c r="AG31" s="9"/>
      <c r="AH31">
        <f t="shared" si="6"/>
        <v>0</v>
      </c>
      <c r="AI31">
        <f t="shared" si="7"/>
        <v>0</v>
      </c>
      <c r="AJ31">
        <f t="shared" si="8"/>
        <v>0</v>
      </c>
      <c r="AK31" s="4"/>
      <c r="AL31">
        <f>SQRT((2+(($AL$3+Table4[[#This Row],[Red]])/2)/256)*($AL$3-Table4[[#This Row],[Red]])^2 + 4*($AM$3-Table4[[#This Row],[Green]])^2 + (2+(255-(($AL$3+Table4[[#This Row],[Red]])/2))/256 )*($AN$3-Table4[[#This Row],[Blue]])^2)</f>
        <v>483.61449369888101</v>
      </c>
      <c r="AM31">
        <f>SQRT((2+(($AO$3+Table4[[#This Row],[Red2]])/2)/256)*($AO$3-Table4[[#This Row],[Red2]])^2 + 4*($AP$3-Table4[[#This Row],[Green2]])^2 + (2+(255-(($AO$3+Table4[[#This Row],[Red2]])/2))/256 )*($AQ$3-Table4[[#This Row],[Blue2]])^2)</f>
        <v>572.4695321450522</v>
      </c>
      <c r="AN31">
        <f>SQRT(Table4[[#This Row],[diffPrimary]]^2+Table4[[#This Row],[diffSecondary]]^2)</f>
        <v>749.40265795498749</v>
      </c>
      <c r="AO31" s="2">
        <f>SQRT((2+(($AL$3+Table4[[#This Row],[Red2]])/2)/256)*($AL$3-Table4[[#This Row],[Red2]])^2 + 4*($AM$3-Table4[[#This Row],[Green2]])^2 + (2+(255-(($AL$3+Table4[[#This Row],[Red2]])/2))/256 )*($AN$3-Table4[[#This Row],[Blue2]])^2)</f>
        <v>65.817930687617334</v>
      </c>
      <c r="AP31" s="2">
        <f>SQRT((2+(($AO$3+Table4[[#This Row],[Red]])/2)/256)*($AO$3-Table4[[#This Row],[Red]])^2 + 4*($AP$3-Table4[[#This Row],[Green]])^2 + (2+(255-(($AO$3+Table4[[#This Row],[Red]])/2))/256 )*($AQ$3-Table4[[#This Row],[Blue]])^2)</f>
        <v>178.24382001909632</v>
      </c>
      <c r="AQ31" s="2">
        <f>SQRT(Table4[[#This Row],[diffPrimary2]]^2+Table4[[#This Row],[diffSecondary2]]^2)</f>
        <v>190.00752452205677</v>
      </c>
      <c r="AR31" s="786">
        <f>MIN(Table4[[#This Row],[MinOrig]],Table4[[#This Row],[MinSwap]])</f>
        <v>190.00752452205677</v>
      </c>
      <c r="AS31" s="2">
        <v>48.313955346773298</v>
      </c>
      <c r="AU31">
        <v>179</v>
      </c>
      <c r="AV31">
        <v>152</v>
      </c>
      <c r="AW31">
        <v>93</v>
      </c>
      <c r="AX31" s="663"/>
      <c r="AY31" t="s">
        <v>480</v>
      </c>
      <c r="AZ31" s="53"/>
      <c r="BA31" t="s">
        <v>387</v>
      </c>
      <c r="BB31" s="689"/>
      <c r="BC31" t="s">
        <v>498</v>
      </c>
    </row>
    <row r="32" spans="1:55" x14ac:dyDescent="0.25">
      <c r="A32" t="s">
        <v>40</v>
      </c>
      <c r="B32">
        <v>245</v>
      </c>
      <c r="C32">
        <v>128</v>
      </c>
      <c r="D32">
        <v>37</v>
      </c>
      <c r="E32" s="148"/>
      <c r="F32">
        <v>35</v>
      </c>
      <c r="G32">
        <v>31</v>
      </c>
      <c r="H32">
        <v>32</v>
      </c>
      <c r="I32" s="10"/>
      <c r="M32" s="4"/>
      <c r="Q32" s="4"/>
      <c r="U32" s="4"/>
      <c r="Y32" s="4"/>
      <c r="Z32">
        <f t="shared" si="0"/>
        <v>255</v>
      </c>
      <c r="AA32">
        <f t="shared" si="1"/>
        <v>127.5</v>
      </c>
      <c r="AB32">
        <f t="shared" si="2"/>
        <v>0</v>
      </c>
      <c r="AC32" s="28"/>
      <c r="AD32">
        <f t="shared" si="3"/>
        <v>0</v>
      </c>
      <c r="AE32">
        <f t="shared" si="4"/>
        <v>0</v>
      </c>
      <c r="AF32">
        <f t="shared" si="5"/>
        <v>0</v>
      </c>
      <c r="AG32" s="4"/>
      <c r="AH32">
        <f t="shared" si="6"/>
        <v>0</v>
      </c>
      <c r="AI32">
        <f t="shared" si="7"/>
        <v>0</v>
      </c>
      <c r="AJ32">
        <f t="shared" si="8"/>
        <v>0</v>
      </c>
      <c r="AK32" s="4"/>
      <c r="AL32">
        <f>SQRT((2+(($AL$3+Table4[[#This Row],[Red]])/2)/256)*($AL$3-Table4[[#This Row],[Red]])^2 + 4*($AM$3-Table4[[#This Row],[Green]])^2 + (2+(255-(($AL$3+Table4[[#This Row],[Red]])/2))/256 )*($AN$3-Table4[[#This Row],[Blue]])^2)</f>
        <v>163.64105392978254</v>
      </c>
      <c r="AM32">
        <f>SQRT((2+(($AO$3+Table4[[#This Row],[Red2]])/2)/256)*($AO$3-Table4[[#This Row],[Red2]])^2 + 4*($AP$3-Table4[[#This Row],[Green2]])^2 + (2+(255-(($AO$3+Table4[[#This Row],[Red2]])/2))/256 )*($AQ$3-Table4[[#This Row],[Blue2]])^2)</f>
        <v>96.82840613360834</v>
      </c>
      <c r="AN32">
        <f>SQRT(Table4[[#This Row],[diffPrimary]]^2+Table4[[#This Row],[diffSecondary]]^2)</f>
        <v>190.14240654210991</v>
      </c>
      <c r="AO32" s="2">
        <f>SQRT((2+(($AL$3+Table4[[#This Row],[Red2]])/2)/256)*($AL$3-Table4[[#This Row],[Red2]])^2 + 4*($AM$3-Table4[[#This Row],[Green2]])^2 + (2+(255-(($AL$3+Table4[[#This Row],[Red2]])/2))/256 )*($AN$3-Table4[[#This Row],[Blue2]])^2)</f>
        <v>497.80122790125779</v>
      </c>
      <c r="AP32" s="2">
        <f>SQRT((2+(($AO$3+Table4[[#This Row],[Red]])/2)/256)*($AO$3-Table4[[#This Row],[Red]])^2 + 4*($AP$3-Table4[[#This Row],[Green]])^2 + (2+(255-(($AO$3+Table4[[#This Row],[Red]])/2))/256 )*($AQ$3-Table4[[#This Row],[Blue]])^2)</f>
        <v>466.64275933925086</v>
      </c>
      <c r="AQ32" s="2">
        <f>SQRT(Table4[[#This Row],[diffPrimary2]]^2+Table4[[#This Row],[diffSecondary2]]^2)</f>
        <v>682.32069244875606</v>
      </c>
      <c r="AR32" s="786">
        <f>MIN(Table4[[#This Row],[MinOrig]],Table4[[#This Row],[MinSwap]])</f>
        <v>190.14240654210991</v>
      </c>
      <c r="AS32" s="2">
        <v>70.587448534601407</v>
      </c>
      <c r="AX32" s="4"/>
    </row>
    <row r="33" spans="1:53" x14ac:dyDescent="0.25">
      <c r="A33" t="s">
        <v>210</v>
      </c>
      <c r="B33">
        <v>12</v>
      </c>
      <c r="C33">
        <v>35</v>
      </c>
      <c r="D33">
        <v>64</v>
      </c>
      <c r="E33" s="90"/>
      <c r="F33">
        <v>201</v>
      </c>
      <c r="G33">
        <v>151</v>
      </c>
      <c r="H33">
        <v>0</v>
      </c>
      <c r="I33" s="74"/>
      <c r="J33">
        <v>174</v>
      </c>
      <c r="K33">
        <v>143</v>
      </c>
      <c r="L33">
        <v>64</v>
      </c>
      <c r="M33" s="421"/>
      <c r="N33">
        <v>10</v>
      </c>
      <c r="O33">
        <v>134</v>
      </c>
      <c r="P33">
        <v>61</v>
      </c>
      <c r="Q33" s="422"/>
      <c r="U33" s="4"/>
      <c r="Y33" s="4"/>
      <c r="Z33">
        <f t="shared" si="0"/>
        <v>0</v>
      </c>
      <c r="AA33">
        <f t="shared" si="1"/>
        <v>0</v>
      </c>
      <c r="AB33">
        <f t="shared" si="2"/>
        <v>127.5</v>
      </c>
      <c r="AC33" s="26"/>
      <c r="AD33">
        <f t="shared" si="3"/>
        <v>255</v>
      </c>
      <c r="AE33">
        <f t="shared" si="4"/>
        <v>127.5</v>
      </c>
      <c r="AF33">
        <f t="shared" si="5"/>
        <v>0</v>
      </c>
      <c r="AG33" s="28"/>
      <c r="AH33">
        <f t="shared" si="6"/>
        <v>127.5</v>
      </c>
      <c r="AI33">
        <f t="shared" si="7"/>
        <v>127.5</v>
      </c>
      <c r="AJ33">
        <f t="shared" si="8"/>
        <v>127.5</v>
      </c>
      <c r="AK33" s="32"/>
      <c r="AL33">
        <f>SQRT((2+(($AL$3+Table4[[#This Row],[Red]])/2)/256)*($AL$3-Table4[[#This Row],[Red]])^2 + 4*($AM$3-Table4[[#This Row],[Green]])^2 + (2+(255-(($AL$3+Table4[[#This Row],[Red]])/2))/256 )*($AN$3-Table4[[#This Row],[Blue]])^2)</f>
        <v>524.04878671682377</v>
      </c>
      <c r="AM33">
        <f>SQRT((2+(($AO$3+Table4[[#This Row],[Red2]])/2)/256)*($AO$3-Table4[[#This Row],[Red2]])^2 + 4*($AP$3-Table4[[#This Row],[Green2]])^2 + (2+(255-(($AO$3+Table4[[#This Row],[Red2]])/2))/256 )*($AQ$3-Table4[[#This Row],[Blue2]])^2)</f>
        <v>433.43574936560668</v>
      </c>
      <c r="AN33">
        <f>SQRT(Table4[[#This Row],[diffPrimary]]^2+Table4[[#This Row],[diffSecondary]]^2)</f>
        <v>680.06887863473071</v>
      </c>
      <c r="AO33" s="2">
        <f>SQRT((2+(($AL$3+Table4[[#This Row],[Red2]])/2)/256)*($AL$3-Table4[[#This Row],[Red2]])^2 + 4*($AM$3-Table4[[#This Row],[Green2]])^2 + (2+(255-(($AL$3+Table4[[#This Row],[Red2]])/2))/256 )*($AN$3-Table4[[#This Row],[Blue2]])^2)</f>
        <v>141.75</v>
      </c>
      <c r="AP33" s="2">
        <f>SQRT((2+(($AO$3+Table4[[#This Row],[Red]])/2)/256)*($AO$3-Table4[[#This Row],[Red]])^2 + 4*($AP$3-Table4[[#This Row],[Green]])^2 + (2+(255-(($AO$3+Table4[[#This Row],[Red]])/2))/256 )*($AQ$3-Table4[[#This Row],[Blue]])^2)</f>
        <v>131.78533681711332</v>
      </c>
      <c r="AQ33" s="2">
        <f>SQRT(Table4[[#This Row],[diffPrimary2]]^2+Table4[[#This Row],[diffSecondary2]]^2)</f>
        <v>193.54699041834778</v>
      </c>
      <c r="AR33" s="786">
        <f>MIN(Table4[[#This Row],[MinOrig]],Table4[[#This Row],[MinSwap]])</f>
        <v>193.54699041834778</v>
      </c>
      <c r="AS33" s="2">
        <v>69.414698664079793</v>
      </c>
      <c r="AX33" s="4"/>
    </row>
    <row r="34" spans="1:53" x14ac:dyDescent="0.25">
      <c r="A34" t="s">
        <v>314</v>
      </c>
      <c r="B34">
        <v>255</v>
      </c>
      <c r="C34">
        <v>130</v>
      </c>
      <c r="D34">
        <v>0</v>
      </c>
      <c r="E34" s="610"/>
      <c r="F34">
        <v>4</v>
      </c>
      <c r="G34">
        <v>30</v>
      </c>
      <c r="H34">
        <v>66</v>
      </c>
      <c r="I34" s="69"/>
      <c r="J34">
        <v>177</v>
      </c>
      <c r="K34">
        <v>179</v>
      </c>
      <c r="L34">
        <v>179</v>
      </c>
      <c r="M34" s="67"/>
      <c r="Q34" s="4"/>
      <c r="U34" s="4"/>
      <c r="Y34" s="4"/>
      <c r="Z34">
        <f t="shared" si="0"/>
        <v>255</v>
      </c>
      <c r="AA34">
        <f t="shared" si="1"/>
        <v>127.5</v>
      </c>
      <c r="AB34">
        <f t="shared" si="2"/>
        <v>0</v>
      </c>
      <c r="AC34" s="28"/>
      <c r="AD34">
        <f t="shared" si="3"/>
        <v>0</v>
      </c>
      <c r="AE34">
        <f t="shared" si="4"/>
        <v>0</v>
      </c>
      <c r="AF34">
        <f t="shared" si="5"/>
        <v>127.5</v>
      </c>
      <c r="AG34" s="26"/>
      <c r="AH34">
        <f t="shared" si="6"/>
        <v>127.5</v>
      </c>
      <c r="AI34">
        <f t="shared" si="7"/>
        <v>127.5</v>
      </c>
      <c r="AJ34">
        <f t="shared" si="8"/>
        <v>127.5</v>
      </c>
      <c r="AK34" s="32"/>
      <c r="AL34">
        <f>SQRT((2+(($AL$3+Table4[[#This Row],[Red]])/2)/256)*($AL$3-Table4[[#This Row],[Red]])^2 + 4*($AM$3-Table4[[#This Row],[Green]])^2 + (2+(255-(($AL$3+Table4[[#This Row],[Red]])/2))/256 )*($AN$3-Table4[[#This Row],[Blue]])^2)</f>
        <v>150</v>
      </c>
      <c r="AM34">
        <f>SQRT((2+(($AO$3+Table4[[#This Row],[Red2]])/2)/256)*($AO$3-Table4[[#This Row],[Red2]])^2 + 4*($AP$3-Table4[[#This Row],[Green2]])^2 + (2+(255-(($AO$3+Table4[[#This Row],[Red2]])/2))/256 )*($AQ$3-Table4[[#This Row],[Blue2]])^2)</f>
        <v>129.03130676312628</v>
      </c>
      <c r="AN34">
        <f>SQRT(Table4[[#This Row],[diffPrimary]]^2+Table4[[#This Row],[diffSecondary]]^2)</f>
        <v>197.86125978826678</v>
      </c>
      <c r="AO34" s="2">
        <f>SQRT((2+(($AL$3+Table4[[#This Row],[Red2]])/2)/256)*($AL$3-Table4[[#This Row],[Red2]])^2 + 4*($AM$3-Table4[[#This Row],[Green2]])^2 + (2+(255-(($AL$3+Table4[[#This Row],[Red2]])/2))/256 )*($AN$3-Table4[[#This Row],[Blue2]])^2)</f>
        <v>539.64720644313081</v>
      </c>
      <c r="AP34" s="2">
        <f>SQRT((2+(($AO$3+Table4[[#This Row],[Red]])/2)/256)*($AO$3-Table4[[#This Row],[Red]])^2 + 4*($AP$3-Table4[[#This Row],[Green]])^2 + (2+(255-(($AO$3+Table4[[#This Row],[Red]])/2))/256 )*($AQ$3-Table4[[#This Row],[Blue]])^2)</f>
        <v>479.62016017560711</v>
      </c>
      <c r="AQ34" s="2">
        <f>SQRT(Table4[[#This Row],[diffPrimary2]]^2+Table4[[#This Row],[diffSecondary2]]^2)</f>
        <v>721.97964338944496</v>
      </c>
      <c r="AR34" s="786">
        <f>MIN(Table4[[#This Row],[MinOrig]],Table4[[#This Row],[MinSwap]])</f>
        <v>197.86125978826678</v>
      </c>
      <c r="AS34" s="2">
        <v>68.197939737025806</v>
      </c>
      <c r="AU34">
        <v>158</v>
      </c>
      <c r="AV34">
        <v>157</v>
      </c>
      <c r="AW34">
        <v>139</v>
      </c>
      <c r="AX34" s="664"/>
      <c r="AY34" t="s">
        <v>398</v>
      </c>
      <c r="AZ34" s="6"/>
      <c r="BA34" t="s">
        <v>352</v>
      </c>
    </row>
    <row r="35" spans="1:53" x14ac:dyDescent="0.25">
      <c r="A35" t="s">
        <v>205</v>
      </c>
      <c r="B35">
        <v>1</v>
      </c>
      <c r="C35">
        <v>45</v>
      </c>
      <c r="D35">
        <v>91</v>
      </c>
      <c r="E35" s="415"/>
      <c r="F35">
        <v>254</v>
      </c>
      <c r="G35">
        <v>189</v>
      </c>
      <c r="H35">
        <v>54</v>
      </c>
      <c r="I35" s="416"/>
      <c r="M35" s="4"/>
      <c r="Q35" s="4"/>
      <c r="U35" s="4"/>
      <c r="Y35" s="4"/>
      <c r="Z35">
        <f t="shared" si="0"/>
        <v>0</v>
      </c>
      <c r="AA35">
        <f t="shared" si="1"/>
        <v>0</v>
      </c>
      <c r="AB35">
        <f t="shared" si="2"/>
        <v>127.5</v>
      </c>
      <c r="AC35" s="26"/>
      <c r="AD35">
        <f t="shared" si="3"/>
        <v>255</v>
      </c>
      <c r="AE35">
        <f t="shared" si="4"/>
        <v>127.5</v>
      </c>
      <c r="AF35">
        <f t="shared" si="5"/>
        <v>0</v>
      </c>
      <c r="AG35" s="28"/>
      <c r="AH35">
        <f t="shared" si="6"/>
        <v>0</v>
      </c>
      <c r="AI35">
        <f t="shared" si="7"/>
        <v>0</v>
      </c>
      <c r="AJ35">
        <f t="shared" si="8"/>
        <v>0</v>
      </c>
      <c r="AK35" s="4"/>
      <c r="AL35">
        <f>SQRT((2+(($AL$3+Table4[[#This Row],[Red]])/2)/256)*($AL$3-Table4[[#This Row],[Red]])^2 + 4*($AM$3-Table4[[#This Row],[Green]])^2 + (2+(255-(($AL$3+Table4[[#This Row],[Red]])/2))/256 )*($AN$3-Table4[[#This Row],[Blue]])^2)</f>
        <v>533.25430363359465</v>
      </c>
      <c r="AM35">
        <f>SQRT((2+(($AO$3+Table4[[#This Row],[Red2]])/2)/256)*($AO$3-Table4[[#This Row],[Red2]])^2 + 4*($AP$3-Table4[[#This Row],[Green2]])^2 + (2+(255-(($AO$3+Table4[[#This Row],[Red2]])/2))/256 )*($AQ$3-Table4[[#This Row],[Blue2]])^2)</f>
        <v>557.86376865234763</v>
      </c>
      <c r="AN35">
        <f>SQRT(Table4[[#This Row],[diffPrimary]]^2+Table4[[#This Row],[diffSecondary]]^2)</f>
        <v>771.73320306874837</v>
      </c>
      <c r="AO35" s="2">
        <f>SQRT((2+(($AL$3+Table4[[#This Row],[Red2]])/2)/256)*($AL$3-Table4[[#This Row],[Red2]])^2 + 4*($AM$3-Table4[[#This Row],[Green2]])^2 + (2+(255-(($AL$3+Table4[[#This Row],[Red2]])/2))/256 )*($AN$3-Table4[[#This Row],[Blue2]])^2)</f>
        <v>82.8534214931707</v>
      </c>
      <c r="AP35" s="2">
        <f>SQRT((2+(($AO$3+Table4[[#This Row],[Red]])/2)/256)*($AO$3-Table4[[#This Row],[Red]])^2 + 4*($AP$3-Table4[[#This Row],[Green]])^2 + (2+(255-(($AO$3+Table4[[#This Row],[Red]])/2))/256 )*($AQ$3-Table4[[#This Row],[Blue]])^2)</f>
        <v>181.37386931074167</v>
      </c>
      <c r="AQ35" s="2">
        <f>SQRT(Table4[[#This Row],[diffPrimary2]]^2+Table4[[#This Row],[diffSecondary2]]^2)</f>
        <v>199.40203088703737</v>
      </c>
      <c r="AR35" s="786">
        <f>MIN(Table4[[#This Row],[MinOrig]],Table4[[#This Row],[MinSwap]])</f>
        <v>199.40203088703737</v>
      </c>
      <c r="AS35" s="2">
        <v>53.306509774838901</v>
      </c>
      <c r="AU35">
        <v>11</v>
      </c>
      <c r="AV35">
        <v>99</v>
      </c>
      <c r="AW35">
        <v>64</v>
      </c>
      <c r="AX35" s="665"/>
      <c r="AY35" t="s">
        <v>367</v>
      </c>
      <c r="AZ35" s="8"/>
      <c r="BA35" t="s">
        <v>356</v>
      </c>
    </row>
    <row r="36" spans="1:53" x14ac:dyDescent="0.25">
      <c r="A36" t="s">
        <v>170</v>
      </c>
      <c r="B36">
        <v>122</v>
      </c>
      <c r="C36">
        <v>0</v>
      </c>
      <c r="D36">
        <v>25</v>
      </c>
      <c r="E36" s="354"/>
      <c r="F36">
        <v>255</v>
      </c>
      <c r="G36">
        <v>204</v>
      </c>
      <c r="H36">
        <v>51</v>
      </c>
      <c r="I36" s="132"/>
      <c r="M36" s="4"/>
      <c r="Q36" s="4"/>
      <c r="U36" s="4"/>
      <c r="Y36" s="4"/>
      <c r="Z36">
        <f t="shared" si="0"/>
        <v>127.5</v>
      </c>
      <c r="AA36">
        <f t="shared" si="1"/>
        <v>0</v>
      </c>
      <c r="AB36">
        <f t="shared" si="2"/>
        <v>0</v>
      </c>
      <c r="AC36" s="27"/>
      <c r="AD36">
        <f t="shared" si="3"/>
        <v>255</v>
      </c>
      <c r="AE36">
        <f t="shared" si="4"/>
        <v>255</v>
      </c>
      <c r="AF36">
        <f t="shared" si="5"/>
        <v>0</v>
      </c>
      <c r="AG36" s="9"/>
      <c r="AH36">
        <f t="shared" si="6"/>
        <v>0</v>
      </c>
      <c r="AI36">
        <f t="shared" si="7"/>
        <v>0</v>
      </c>
      <c r="AJ36">
        <f t="shared" si="8"/>
        <v>0</v>
      </c>
      <c r="AK36" s="4"/>
      <c r="AL36">
        <f>SQRT((2+(($AL$3+Table4[[#This Row],[Red]])/2)/256)*($AL$3-Table4[[#This Row],[Red]])^2 + 4*($AM$3-Table4[[#This Row],[Green]])^2 + (2+(255-(($AL$3+Table4[[#This Row],[Red]])/2))/256 )*($AN$3-Table4[[#This Row],[Blue]])^2)</f>
        <v>466.81394764804315</v>
      </c>
      <c r="AM36">
        <f>SQRT((2+(($AO$3+Table4[[#This Row],[Red2]])/2)/256)*($AO$3-Table4[[#This Row],[Red2]])^2 + 4*($AP$3-Table4[[#This Row],[Green2]])^2 + (2+(255-(($AO$3+Table4[[#This Row],[Red2]])/2))/256 )*($AQ$3-Table4[[#This Row],[Blue2]])^2)</f>
        <v>579.13462853532599</v>
      </c>
      <c r="AN36">
        <f>SQRT(Table4[[#This Row],[diffPrimary]]^2+Table4[[#This Row],[diffSecondary]]^2)</f>
        <v>743.84956791511274</v>
      </c>
      <c r="AO36" s="2">
        <f>SQRT((2+(($AL$3+Table4[[#This Row],[Red2]])/2)/256)*($AL$3-Table4[[#This Row],[Red2]])^2 + 4*($AM$3-Table4[[#This Row],[Green2]])^2 + (2+(255-(($AL$3+Table4[[#This Row],[Red2]])/2))/256 )*($AN$3-Table4[[#This Row],[Blue2]])^2)</f>
        <v>72.15261603018979</v>
      </c>
      <c r="AP36" s="2">
        <f>SQRT((2+(($AO$3+Table4[[#This Row],[Red]])/2)/256)*($AO$3-Table4[[#This Row],[Red]])^2 + 4*($AP$3-Table4[[#This Row],[Green]])^2 + (2+(255-(($AO$3+Table4[[#This Row],[Red]])/2))/256 )*($AQ$3-Table4[[#This Row],[Blue]])^2)</f>
        <v>187.18496450703512</v>
      </c>
      <c r="AQ36" s="2">
        <f>SQRT(Table4[[#This Row],[diffPrimary2]]^2+Table4[[#This Row],[diffSecondary2]]^2)</f>
        <v>200.60959831847529</v>
      </c>
      <c r="AR36" s="786">
        <f>MIN(Table4[[#This Row],[MinOrig]],Table4[[#This Row],[MinSwap]])</f>
        <v>200.60959831847529</v>
      </c>
      <c r="AS36" s="2">
        <v>48.313955346773298</v>
      </c>
      <c r="AU36">
        <v>20</v>
      </c>
      <c r="AV36">
        <v>50</v>
      </c>
      <c r="AW36">
        <v>114</v>
      </c>
      <c r="AX36" s="666"/>
      <c r="AY36" t="s">
        <v>481</v>
      </c>
      <c r="AZ36" s="7"/>
      <c r="BA36" t="s">
        <v>355</v>
      </c>
    </row>
    <row r="37" spans="1:53" x14ac:dyDescent="0.25">
      <c r="A37" t="s">
        <v>56</v>
      </c>
      <c r="B37">
        <v>207</v>
      </c>
      <c r="C37">
        <v>184</v>
      </c>
      <c r="D37">
        <v>124</v>
      </c>
      <c r="E37" s="179"/>
      <c r="F37">
        <v>0</v>
      </c>
      <c r="G37">
        <v>0</v>
      </c>
      <c r="H37">
        <v>0</v>
      </c>
      <c r="I37" s="4"/>
      <c r="J37">
        <v>86</v>
      </c>
      <c r="K37">
        <v>90</v>
      </c>
      <c r="L37">
        <v>92</v>
      </c>
      <c r="M37" s="180"/>
      <c r="N37">
        <v>162</v>
      </c>
      <c r="O37">
        <v>164</v>
      </c>
      <c r="P37">
        <v>163</v>
      </c>
      <c r="Q37" s="181"/>
      <c r="R37">
        <v>75</v>
      </c>
      <c r="S37">
        <v>146</v>
      </c>
      <c r="T37">
        <v>219</v>
      </c>
      <c r="U37" s="182"/>
      <c r="Y37" s="4"/>
      <c r="Z37">
        <f t="shared" si="0"/>
        <v>255</v>
      </c>
      <c r="AA37">
        <f t="shared" si="1"/>
        <v>127.5</v>
      </c>
      <c r="AB37">
        <f t="shared" si="2"/>
        <v>127.5</v>
      </c>
      <c r="AC37" s="25"/>
      <c r="AD37">
        <f t="shared" si="3"/>
        <v>0</v>
      </c>
      <c r="AE37">
        <f t="shared" si="4"/>
        <v>0</v>
      </c>
      <c r="AF37">
        <f t="shared" si="5"/>
        <v>0</v>
      </c>
      <c r="AG37" s="4"/>
      <c r="AH37">
        <f t="shared" si="6"/>
        <v>127.5</v>
      </c>
      <c r="AI37">
        <f t="shared" si="7"/>
        <v>127.5</v>
      </c>
      <c r="AJ37">
        <f t="shared" si="8"/>
        <v>127.5</v>
      </c>
      <c r="AK37" s="32"/>
      <c r="AL37">
        <f>SQRT((2+(($AL$3+Table4[[#This Row],[Red]])/2)/256)*($AL$3-Table4[[#This Row],[Red]])^2 + 4*($AM$3-Table4[[#This Row],[Green]])^2 + (2+(255-(($AL$3+Table4[[#This Row],[Red]])/2))/256 )*($AN$3-Table4[[#This Row],[Blue]])^2)</f>
        <v>201.60481145052069</v>
      </c>
      <c r="AM37">
        <f>SQRT((2+(($AO$3+Table4[[#This Row],[Red2]])/2)/256)*($AO$3-Table4[[#This Row],[Red2]])^2 + 4*($AP$3-Table4[[#This Row],[Green2]])^2 + (2+(255-(($AO$3+Table4[[#This Row],[Red2]])/2))/256 )*($AQ$3-Table4[[#This Row],[Blue2]])^2)</f>
        <v>0</v>
      </c>
      <c r="AN37">
        <f>SQRT(Table4[[#This Row],[diffPrimary]]^2+Table4[[#This Row],[diffSecondary]]^2)</f>
        <v>201.60481145052069</v>
      </c>
      <c r="AO37" s="2">
        <f>SQRT((2+(($AL$3+Table4[[#This Row],[Red2]])/2)/256)*($AL$3-Table4[[#This Row],[Red2]])^2 + 4*($AM$3-Table4[[#This Row],[Green2]])^2 + (2+(255-(($AL$3+Table4[[#This Row],[Red2]])/2))/256 )*($AN$3-Table4[[#This Row],[Blue2]])^2)</f>
        <v>574.92216694686158</v>
      </c>
      <c r="AP37" s="2">
        <f>SQRT((2+(($AO$3+Table4[[#This Row],[Red]])/2)/256)*($AO$3-Table4[[#This Row],[Red]])^2 + 4*($AP$3-Table4[[#This Row],[Green]])^2 + (2+(255-(($AO$3+Table4[[#This Row],[Red]])/2))/256 )*($AQ$3-Table4[[#This Row],[Blue]])^2)</f>
        <v>527.53880003927202</v>
      </c>
      <c r="AQ37" s="2">
        <f>SQRT(Table4[[#This Row],[diffPrimary2]]^2+Table4[[#This Row],[diffSecondary2]]^2)</f>
        <v>780.27731198193248</v>
      </c>
      <c r="AR37" s="786">
        <f>MIN(Table4[[#This Row],[MinOrig]],Table4[[#This Row],[MinSwap]])</f>
        <v>201.60481145052069</v>
      </c>
      <c r="AS37" s="2">
        <v>17.835018660629402</v>
      </c>
      <c r="AU37">
        <v>242</v>
      </c>
      <c r="AV37">
        <v>243</v>
      </c>
      <c r="AW37">
        <v>240</v>
      </c>
      <c r="AX37" s="667"/>
      <c r="AY37" t="s">
        <v>470</v>
      </c>
      <c r="AZ37" s="3"/>
      <c r="BA37" t="s">
        <v>351</v>
      </c>
    </row>
    <row r="38" spans="1:53" x14ac:dyDescent="0.25">
      <c r="A38" t="s">
        <v>163</v>
      </c>
      <c r="B38">
        <v>247</v>
      </c>
      <c r="C38">
        <v>104</v>
      </c>
      <c r="D38">
        <v>0</v>
      </c>
      <c r="E38" s="370"/>
      <c r="F38">
        <v>0</v>
      </c>
      <c r="G38">
        <v>0</v>
      </c>
      <c r="H38">
        <v>0</v>
      </c>
      <c r="I38" s="4"/>
      <c r="M38" s="4"/>
      <c r="Q38" s="4"/>
      <c r="U38" s="4"/>
      <c r="Y38" s="4"/>
      <c r="Z38">
        <f t="shared" si="0"/>
        <v>255</v>
      </c>
      <c r="AA38">
        <f t="shared" si="1"/>
        <v>127.5</v>
      </c>
      <c r="AB38">
        <f t="shared" si="2"/>
        <v>0</v>
      </c>
      <c r="AC38" s="28"/>
      <c r="AD38">
        <f t="shared" si="3"/>
        <v>0</v>
      </c>
      <c r="AE38">
        <f t="shared" si="4"/>
        <v>0</v>
      </c>
      <c r="AF38">
        <f t="shared" si="5"/>
        <v>0</v>
      </c>
      <c r="AG38" s="4"/>
      <c r="AH38">
        <f t="shared" si="6"/>
        <v>0</v>
      </c>
      <c r="AI38">
        <f t="shared" si="7"/>
        <v>0</v>
      </c>
      <c r="AJ38">
        <f t="shared" si="8"/>
        <v>0</v>
      </c>
      <c r="AK38" s="4"/>
      <c r="AL38">
        <f>SQRT((2+(($AL$3+Table4[[#This Row],[Red]])/2)/256)*($AL$3-Table4[[#This Row],[Red]])^2 + 4*($AM$3-Table4[[#This Row],[Green]])^2 + (2+(255-(($AL$3+Table4[[#This Row],[Red]])/2))/256 )*($AN$3-Table4[[#This Row],[Blue]])^2)</f>
        <v>202.47160294717875</v>
      </c>
      <c r="AM38">
        <f>SQRT((2+(($AO$3+Table4[[#This Row],[Red2]])/2)/256)*($AO$3-Table4[[#This Row],[Red2]])^2 + 4*($AP$3-Table4[[#This Row],[Green2]])^2 + (2+(255-(($AO$3+Table4[[#This Row],[Red2]])/2))/256 )*($AQ$3-Table4[[#This Row],[Blue2]])^2)</f>
        <v>0</v>
      </c>
      <c r="AN38">
        <f>SQRT(Table4[[#This Row],[diffPrimary]]^2+Table4[[#This Row],[diffSecondary]]^2)</f>
        <v>202.47160294717875</v>
      </c>
      <c r="AO38" s="2">
        <f>SQRT((2+(($AL$3+Table4[[#This Row],[Red2]])/2)/256)*($AL$3-Table4[[#This Row],[Red2]])^2 + 4*($AM$3-Table4[[#This Row],[Green2]])^2 + (2+(255-(($AL$3+Table4[[#This Row],[Red2]])/2))/256 )*($AN$3-Table4[[#This Row],[Blue2]])^2)</f>
        <v>574.92216694686158</v>
      </c>
      <c r="AP38" s="2">
        <f>SQRT((2+(($AO$3+Table4[[#This Row],[Red]])/2)/256)*($AO$3-Table4[[#This Row],[Red]])^2 + 4*($AP$3-Table4[[#This Row],[Green]])^2 + (2+(255-(($AO$3+Table4[[#This Row],[Red]])/2))/256 )*($AQ$3-Table4[[#This Row],[Blue]])^2)</f>
        <v>441.26417957032839</v>
      </c>
      <c r="AQ38" s="2">
        <f>SQRT(Table4[[#This Row],[diffPrimary2]]^2+Table4[[#This Row],[diffSecondary2]]^2)</f>
        <v>724.74103941942599</v>
      </c>
      <c r="AR38" s="786">
        <f>MIN(Table4[[#This Row],[MinOrig]],Table4[[#This Row],[MinSwap]])</f>
        <v>202.47160294717875</v>
      </c>
      <c r="AS38" s="2">
        <v>46.171047475663798</v>
      </c>
      <c r="AU38">
        <v>129</v>
      </c>
      <c r="AV38">
        <v>24</v>
      </c>
      <c r="AW38">
        <v>36</v>
      </c>
      <c r="AX38" s="668"/>
      <c r="AY38" t="s">
        <v>409</v>
      </c>
      <c r="AZ38" s="39"/>
      <c r="BA38" t="s">
        <v>353</v>
      </c>
    </row>
    <row r="39" spans="1:53" x14ac:dyDescent="0.25">
      <c r="A39" t="s">
        <v>302</v>
      </c>
      <c r="B39">
        <v>0</v>
      </c>
      <c r="C39">
        <v>54</v>
      </c>
      <c r="D39">
        <v>96</v>
      </c>
      <c r="E39" s="593"/>
      <c r="F39">
        <v>254</v>
      </c>
      <c r="G39">
        <v>188</v>
      </c>
      <c r="H39">
        <v>17</v>
      </c>
      <c r="I39" s="594"/>
      <c r="M39" s="4"/>
      <c r="Q39" s="4"/>
      <c r="U39" s="4"/>
      <c r="Y39" s="4"/>
      <c r="Z39">
        <f t="shared" si="0"/>
        <v>0</v>
      </c>
      <c r="AA39">
        <f t="shared" si="1"/>
        <v>0</v>
      </c>
      <c r="AB39">
        <f t="shared" si="2"/>
        <v>127.5</v>
      </c>
      <c r="AC39" s="26"/>
      <c r="AD39">
        <f t="shared" si="3"/>
        <v>255</v>
      </c>
      <c r="AE39">
        <f t="shared" si="4"/>
        <v>127.5</v>
      </c>
      <c r="AF39">
        <f t="shared" si="5"/>
        <v>0</v>
      </c>
      <c r="AG39" s="28"/>
      <c r="AH39">
        <f t="shared" si="6"/>
        <v>0</v>
      </c>
      <c r="AI39">
        <f t="shared" si="7"/>
        <v>0</v>
      </c>
      <c r="AJ39">
        <f t="shared" si="8"/>
        <v>0</v>
      </c>
      <c r="AK39" s="4"/>
      <c r="AL39">
        <f>SQRT((2+(($AL$3+Table4[[#This Row],[Red]])/2)/256)*($AL$3-Table4[[#This Row],[Red]])^2 + 4*($AM$3-Table4[[#This Row],[Green]])^2 + (2+(255-(($AL$3+Table4[[#This Row],[Red]])/2))/256 )*($AN$3-Table4[[#This Row],[Blue]])^2)</f>
        <v>525.98621469281397</v>
      </c>
      <c r="AM39">
        <f>SQRT((2+(($AO$3+Table4[[#This Row],[Red2]])/2)/256)*($AO$3-Table4[[#This Row],[Red2]])^2 + 4*($AP$3-Table4[[#This Row],[Green2]])^2 + (2+(255-(($AO$3+Table4[[#This Row],[Red2]])/2))/256 )*($AQ$3-Table4[[#This Row],[Blue2]])^2)</f>
        <v>550.5783181119649</v>
      </c>
      <c r="AN39">
        <f>SQRT(Table4[[#This Row],[diffPrimary]]^2+Table4[[#This Row],[diffSecondary]]^2)</f>
        <v>761.44466799753411</v>
      </c>
      <c r="AO39" s="2">
        <f>SQRT((2+(($AL$3+Table4[[#This Row],[Red2]])/2)/256)*($AL$3-Table4[[#This Row],[Red2]])^2 + 4*($AM$3-Table4[[#This Row],[Green2]])^2 + (2+(255-(($AL$3+Table4[[#This Row],[Red2]])/2))/256 )*($AN$3-Table4[[#This Row],[Blue2]])^2)</f>
        <v>41.684032839325901</v>
      </c>
      <c r="AP39" s="2">
        <f>SQRT((2+(($AO$3+Table4[[#This Row],[Red]])/2)/256)*($AO$3-Table4[[#This Row],[Red]])^2 + 4*($AP$3-Table4[[#This Row],[Green]])^2 + (2+(255-(($AO$3+Table4[[#This Row],[Red]])/2))/256 )*($AQ$3-Table4[[#This Row],[Blue]])^2)</f>
        <v>198.18173477896494</v>
      </c>
      <c r="AQ39" s="2">
        <f>SQRT(Table4[[#This Row],[diffPrimary2]]^2+Table4[[#This Row],[diffSecondary2]]^2)</f>
        <v>202.51804510647935</v>
      </c>
      <c r="AR39" s="786">
        <f>MIN(Table4[[#This Row],[MinOrig]],Table4[[#This Row],[MinSwap]])</f>
        <v>202.51804510647935</v>
      </c>
      <c r="AS39" s="2">
        <v>16.4548981119605</v>
      </c>
      <c r="AU39">
        <v>208</v>
      </c>
      <c r="AV39">
        <v>28</v>
      </c>
      <c r="AW39">
        <v>34</v>
      </c>
      <c r="AX39" s="669"/>
      <c r="AY39" t="s">
        <v>357</v>
      </c>
      <c r="AZ39" s="5"/>
      <c r="BA39" t="s">
        <v>357</v>
      </c>
    </row>
    <row r="40" spans="1:53" x14ac:dyDescent="0.25">
      <c r="A40" t="s">
        <v>136</v>
      </c>
      <c r="B40">
        <v>255</v>
      </c>
      <c r="C40">
        <v>204</v>
      </c>
      <c r="D40">
        <v>0</v>
      </c>
      <c r="E40" s="80"/>
      <c r="F40">
        <v>0</v>
      </c>
      <c r="G40">
        <v>51</v>
      </c>
      <c r="H40">
        <v>102</v>
      </c>
      <c r="I40" s="82"/>
      <c r="J40">
        <v>255</v>
      </c>
      <c r="K40">
        <v>255</v>
      </c>
      <c r="L40">
        <v>255</v>
      </c>
      <c r="M40" s="3"/>
      <c r="Q40" s="4"/>
      <c r="U40" s="4"/>
      <c r="Y40" s="4"/>
      <c r="Z40">
        <f t="shared" si="0"/>
        <v>255</v>
      </c>
      <c r="AA40">
        <f t="shared" si="1"/>
        <v>255</v>
      </c>
      <c r="AB40">
        <f t="shared" si="2"/>
        <v>0</v>
      </c>
      <c r="AC40" s="9"/>
      <c r="AD40">
        <f t="shared" si="3"/>
        <v>0</v>
      </c>
      <c r="AE40">
        <f t="shared" si="4"/>
        <v>0</v>
      </c>
      <c r="AF40">
        <f t="shared" si="5"/>
        <v>127.5</v>
      </c>
      <c r="AG40" s="26"/>
      <c r="AH40">
        <f t="shared" si="6"/>
        <v>255</v>
      </c>
      <c r="AI40">
        <f t="shared" si="7"/>
        <v>255</v>
      </c>
      <c r="AJ40">
        <f t="shared" si="8"/>
        <v>255</v>
      </c>
      <c r="AK40" s="3"/>
      <c r="AL40">
        <f>SQRT((2+(($AL$3+Table4[[#This Row],[Red]])/2)/256)*($AL$3-Table4[[#This Row],[Red]])^2 + 4*($AM$3-Table4[[#This Row],[Green]])^2 + (2+(255-(($AL$3+Table4[[#This Row],[Red]])/2))/256 )*($AN$3-Table4[[#This Row],[Blue]])^2)</f>
        <v>2</v>
      </c>
      <c r="AM40">
        <f>SQRT((2+(($AO$3+Table4[[#This Row],[Red2]])/2)/256)*($AO$3-Table4[[#This Row],[Red2]])^2 + 4*($AP$3-Table4[[#This Row],[Green2]])^2 + (2+(255-(($AO$3+Table4[[#This Row],[Red2]])/2))/256 )*($AQ$3-Table4[[#This Row],[Blue2]])^2)</f>
        <v>203.90036629442332</v>
      </c>
      <c r="AN40">
        <f>SQRT(Table4[[#This Row],[diffPrimary]]^2+Table4[[#This Row],[diffSecondary]]^2)</f>
        <v>203.91017477065728</v>
      </c>
      <c r="AO40" s="2">
        <f>SQRT((2+(($AL$3+Table4[[#This Row],[Red2]])/2)/256)*($AL$3-Table4[[#This Row],[Red2]])^2 + 4*($AM$3-Table4[[#This Row],[Green2]])^2 + (2+(255-(($AL$3+Table4[[#This Row],[Red2]])/2))/256 )*($AN$3-Table4[[#This Row],[Blue2]])^2)</f>
        <v>532.24916884329184</v>
      </c>
      <c r="AP40" s="2">
        <f>SQRT((2+(($AO$3+Table4[[#This Row],[Red]])/2)/256)*($AO$3-Table4[[#This Row],[Red]])^2 + 4*($AP$3-Table4[[#This Row],[Green]])^2 + (2+(255-(($AO$3+Table4[[#This Row],[Red]])/2))/256 )*($AQ$3-Table4[[#This Row],[Blue]])^2)</f>
        <v>573.49760073332038</v>
      </c>
      <c r="AQ40" s="2">
        <f>SQRT(Table4[[#This Row],[diffPrimary2]]^2+Table4[[#This Row],[diffSecondary2]]^2)</f>
        <v>782.42486909686738</v>
      </c>
      <c r="AR40" s="786">
        <f>MIN(Table4[[#This Row],[MinOrig]],Table4[[#This Row],[MinSwap]])</f>
        <v>203.91017477065728</v>
      </c>
      <c r="AS40" s="2">
        <v>12</v>
      </c>
      <c r="AU40">
        <v>2</v>
      </c>
      <c r="AV40">
        <v>3</v>
      </c>
      <c r="AW40">
        <v>5</v>
      </c>
      <c r="AX40" s="670"/>
      <c r="AY40" t="s">
        <v>358</v>
      </c>
      <c r="AZ40" s="4"/>
      <c r="BA40" t="s">
        <v>358</v>
      </c>
    </row>
    <row r="41" spans="1:53" x14ac:dyDescent="0.25">
      <c r="A41" t="s">
        <v>204</v>
      </c>
      <c r="B41">
        <v>0</v>
      </c>
      <c r="C41">
        <v>51</v>
      </c>
      <c r="D41">
        <v>102</v>
      </c>
      <c r="E41" s="82"/>
      <c r="F41">
        <v>255</v>
      </c>
      <c r="G41">
        <v>210</v>
      </c>
      <c r="H41">
        <v>0</v>
      </c>
      <c r="I41" s="210"/>
      <c r="J41">
        <v>251</v>
      </c>
      <c r="K41">
        <v>176</v>
      </c>
      <c r="L41">
        <v>64</v>
      </c>
      <c r="M41" s="414"/>
      <c r="Q41" s="4"/>
      <c r="U41" s="4"/>
      <c r="Y41" s="4"/>
      <c r="Z41">
        <f t="shared" si="0"/>
        <v>0</v>
      </c>
      <c r="AA41">
        <f t="shared" si="1"/>
        <v>0</v>
      </c>
      <c r="AB41">
        <f t="shared" si="2"/>
        <v>127.5</v>
      </c>
      <c r="AC41" s="26"/>
      <c r="AD41">
        <f t="shared" si="3"/>
        <v>255</v>
      </c>
      <c r="AE41">
        <f t="shared" si="4"/>
        <v>255</v>
      </c>
      <c r="AF41">
        <f t="shared" si="5"/>
        <v>0</v>
      </c>
      <c r="AG41" s="9"/>
      <c r="AH41">
        <f t="shared" si="6"/>
        <v>255</v>
      </c>
      <c r="AI41">
        <f t="shared" si="7"/>
        <v>127.5</v>
      </c>
      <c r="AJ41">
        <f t="shared" si="8"/>
        <v>127.5</v>
      </c>
      <c r="AK41" s="25"/>
      <c r="AL41">
        <f>SQRT((2+(($AL$3+Table4[[#This Row],[Red]])/2)/256)*($AL$3-Table4[[#This Row],[Red]])^2 + 4*($AM$3-Table4[[#This Row],[Green]])^2 + (2+(255-(($AL$3+Table4[[#This Row],[Red]])/2))/256 )*($AN$3-Table4[[#This Row],[Blue]])^2)</f>
        <v>532.24916884329184</v>
      </c>
      <c r="AM41">
        <f>SQRT((2+(($AO$3+Table4[[#This Row],[Red2]])/2)/256)*($AO$3-Table4[[#This Row],[Red2]])^2 + 4*($AP$3-Table4[[#This Row],[Green2]])^2 + (2+(255-(($AO$3+Table4[[#This Row],[Red2]])/2))/256 )*($AQ$3-Table4[[#This Row],[Blue2]])^2)</f>
        <v>582.09578081865106</v>
      </c>
      <c r="AN41">
        <f>SQRT(Table4[[#This Row],[diffPrimary]]^2+Table4[[#This Row],[diffSecondary]]^2)</f>
        <v>788.74880398086816</v>
      </c>
      <c r="AO41" s="2">
        <f>SQRT((2+(($AL$3+Table4[[#This Row],[Red2]])/2)/256)*($AL$3-Table4[[#This Row],[Red2]])^2 + 4*($AM$3-Table4[[#This Row],[Green2]])^2 + (2+(255-(($AL$3+Table4[[#This Row],[Red2]])/2))/256 )*($AN$3-Table4[[#This Row],[Blue2]])^2)</f>
        <v>10</v>
      </c>
      <c r="AP41" s="2">
        <f>SQRT((2+(($AO$3+Table4[[#This Row],[Red]])/2)/256)*($AO$3-Table4[[#This Row],[Red]])^2 + 4*($AP$3-Table4[[#This Row],[Green]])^2 + (2+(255-(($AO$3+Table4[[#This Row],[Red]])/2))/256 )*($AQ$3-Table4[[#This Row],[Blue]])^2)</f>
        <v>203.90036629442332</v>
      </c>
      <c r="AQ41" s="2">
        <f>SQRT(Table4[[#This Row],[diffPrimary2]]^2+Table4[[#This Row],[diffSecondary2]]^2)</f>
        <v>204.14543682139947</v>
      </c>
      <c r="AR41" s="786">
        <f>MIN(Table4[[#This Row],[MinOrig]],Table4[[#This Row],[MinSwap]])</f>
        <v>204.14543682139947</v>
      </c>
      <c r="AS41" s="2">
        <v>12</v>
      </c>
      <c r="AU41">
        <v>245</v>
      </c>
      <c r="AV41">
        <v>178</v>
      </c>
      <c r="AW41">
        <v>24</v>
      </c>
      <c r="AX41" s="671"/>
      <c r="AY41" t="s">
        <v>407</v>
      </c>
      <c r="AZ41" s="9"/>
      <c r="BA41" t="s">
        <v>354</v>
      </c>
    </row>
    <row r="42" spans="1:53" x14ac:dyDescent="0.25">
      <c r="A42" t="s">
        <v>211</v>
      </c>
      <c r="B42">
        <v>181</v>
      </c>
      <c r="C42">
        <v>154</v>
      </c>
      <c r="D42">
        <v>87</v>
      </c>
      <c r="E42" s="231"/>
      <c r="F42">
        <v>0</v>
      </c>
      <c r="G42">
        <v>0</v>
      </c>
      <c r="H42">
        <v>0</v>
      </c>
      <c r="I42" s="4"/>
      <c r="J42">
        <v>255</v>
      </c>
      <c r="K42">
        <v>255</v>
      </c>
      <c r="L42">
        <v>255</v>
      </c>
      <c r="M42" s="3"/>
      <c r="Q42" s="4"/>
      <c r="U42" s="4"/>
      <c r="Y42" s="4"/>
      <c r="Z42">
        <f t="shared" si="0"/>
        <v>127.5</v>
      </c>
      <c r="AA42">
        <f t="shared" si="1"/>
        <v>127.5</v>
      </c>
      <c r="AB42">
        <f t="shared" si="2"/>
        <v>127.5</v>
      </c>
      <c r="AC42" s="32"/>
      <c r="AD42">
        <f t="shared" si="3"/>
        <v>0</v>
      </c>
      <c r="AE42">
        <f t="shared" si="4"/>
        <v>0</v>
      </c>
      <c r="AF42">
        <f t="shared" si="5"/>
        <v>0</v>
      </c>
      <c r="AG42" s="4"/>
      <c r="AH42">
        <f t="shared" si="6"/>
        <v>255</v>
      </c>
      <c r="AI42">
        <f t="shared" si="7"/>
        <v>255</v>
      </c>
      <c r="AJ42">
        <f t="shared" si="8"/>
        <v>255</v>
      </c>
      <c r="AK42" s="3"/>
      <c r="AL42">
        <f>SQRT((2+(($AL$3+Table4[[#This Row],[Red]])/2)/256)*($AL$3-Table4[[#This Row],[Red]])^2 + 4*($AM$3-Table4[[#This Row],[Green]])^2 + (2+(255-(($AL$3+Table4[[#This Row],[Red]])/2))/256 )*($AN$3-Table4[[#This Row],[Blue]])^2)</f>
        <v>205.55075597343347</v>
      </c>
      <c r="AM42">
        <f>SQRT((2+(($AO$3+Table4[[#This Row],[Red2]])/2)/256)*($AO$3-Table4[[#This Row],[Red2]])^2 + 4*($AP$3-Table4[[#This Row],[Green2]])^2 + (2+(255-(($AO$3+Table4[[#This Row],[Red2]])/2))/256 )*($AQ$3-Table4[[#This Row],[Blue2]])^2)</f>
        <v>0</v>
      </c>
      <c r="AN42">
        <f>SQRT(Table4[[#This Row],[diffPrimary]]^2+Table4[[#This Row],[diffSecondary]]^2)</f>
        <v>205.55075597343347</v>
      </c>
      <c r="AO42" s="2">
        <f>SQRT((2+(($AL$3+Table4[[#This Row],[Red2]])/2)/256)*($AL$3-Table4[[#This Row],[Red2]])^2 + 4*($AM$3-Table4[[#This Row],[Green2]])^2 + (2+(255-(($AL$3+Table4[[#This Row],[Red2]])/2))/256 )*($AN$3-Table4[[#This Row],[Blue2]])^2)</f>
        <v>574.92216694686158</v>
      </c>
      <c r="AP42" s="2">
        <f>SQRT((2+(($AO$3+Table4[[#This Row],[Red]])/2)/256)*($AO$3-Table4[[#This Row],[Red]])^2 + 4*($AP$3-Table4[[#This Row],[Green]])^2 + (2+(255-(($AO$3+Table4[[#This Row],[Red]])/2))/256 )*($AQ$3-Table4[[#This Row],[Blue]])^2)</f>
        <v>438.14289817221731</v>
      </c>
      <c r="AQ42" s="2">
        <f>SQRT(Table4[[#This Row],[diffPrimary2]]^2+Table4[[#This Row],[diffSecondary2]]^2)</f>
        <v>722.84486389931897</v>
      </c>
      <c r="AR42" s="786">
        <f>MIN(Table4[[#This Row],[MinOrig]],Table4[[#This Row],[MinSwap]])</f>
        <v>205.55075597343347</v>
      </c>
      <c r="AS42" s="2">
        <v>82.384554643149002</v>
      </c>
      <c r="AX42" s="4"/>
    </row>
    <row r="43" spans="1:53" x14ac:dyDescent="0.25">
      <c r="A43" t="s">
        <v>229</v>
      </c>
      <c r="B43">
        <v>255</v>
      </c>
      <c r="C43">
        <v>103</v>
      </c>
      <c r="D43">
        <v>31</v>
      </c>
      <c r="E43" s="464"/>
      <c r="F43">
        <v>0</v>
      </c>
      <c r="G43">
        <v>0</v>
      </c>
      <c r="H43">
        <v>0</v>
      </c>
      <c r="I43" s="4"/>
      <c r="M43" s="4"/>
      <c r="Q43" s="4"/>
      <c r="U43" s="4"/>
      <c r="Y43" s="4"/>
      <c r="Z43">
        <f t="shared" si="0"/>
        <v>255</v>
      </c>
      <c r="AA43">
        <f t="shared" si="1"/>
        <v>127.5</v>
      </c>
      <c r="AB43">
        <f t="shared" si="2"/>
        <v>0</v>
      </c>
      <c r="AC43" s="28"/>
      <c r="AD43">
        <f t="shared" si="3"/>
        <v>0</v>
      </c>
      <c r="AE43">
        <f t="shared" si="4"/>
        <v>0</v>
      </c>
      <c r="AF43">
        <f t="shared" si="5"/>
        <v>0</v>
      </c>
      <c r="AG43" s="4"/>
      <c r="AH43">
        <f t="shared" si="6"/>
        <v>0</v>
      </c>
      <c r="AI43">
        <f t="shared" si="7"/>
        <v>0</v>
      </c>
      <c r="AJ43">
        <f t="shared" si="8"/>
        <v>0</v>
      </c>
      <c r="AK43" s="4"/>
      <c r="AL43">
        <f>SQRT((2+(($AL$3+Table4[[#This Row],[Red]])/2)/256)*($AL$3-Table4[[#This Row],[Red]])^2 + 4*($AM$3-Table4[[#This Row],[Green]])^2 + (2+(255-(($AL$3+Table4[[#This Row],[Red]])/2))/256 )*($AN$3-Table4[[#This Row],[Blue]])^2)</f>
        <v>208.65761428713787</v>
      </c>
      <c r="AM43">
        <f>SQRT((2+(($AO$3+Table4[[#This Row],[Red2]])/2)/256)*($AO$3-Table4[[#This Row],[Red2]])^2 + 4*($AP$3-Table4[[#This Row],[Green2]])^2 + (2+(255-(($AO$3+Table4[[#This Row],[Red2]])/2))/256 )*($AQ$3-Table4[[#This Row],[Blue2]])^2)</f>
        <v>0</v>
      </c>
      <c r="AN43">
        <f>SQRT(Table4[[#This Row],[diffPrimary]]^2+Table4[[#This Row],[diffSecondary]]^2)</f>
        <v>208.65761428713787</v>
      </c>
      <c r="AO43" s="2">
        <f>SQRT((2+(($AL$3+Table4[[#This Row],[Red2]])/2)/256)*($AL$3-Table4[[#This Row],[Red2]])^2 + 4*($AM$3-Table4[[#This Row],[Green2]])^2 + (2+(255-(($AL$3+Table4[[#This Row],[Red2]])/2))/256 )*($AN$3-Table4[[#This Row],[Blue2]])^2)</f>
        <v>574.92216694686158</v>
      </c>
      <c r="AP43" s="2">
        <f>SQRT((2+(($AO$3+Table4[[#This Row],[Red]])/2)/256)*($AO$3-Table4[[#This Row],[Red]])^2 + 4*($AP$3-Table4[[#This Row],[Green]])^2 + (2+(255-(($AO$3+Table4[[#This Row],[Red]])/2))/256 )*($AQ$3-Table4[[#This Row],[Blue]])^2)</f>
        <v>455.27148065055644</v>
      </c>
      <c r="AQ43" s="2">
        <f>SQRT(Table4[[#This Row],[diffPrimary2]]^2+Table4[[#This Row],[diffSecondary2]]^2)</f>
        <v>733.35367943484471</v>
      </c>
      <c r="AR43" s="786">
        <f>MIN(Table4[[#This Row],[MinOrig]],Table4[[#This Row],[MinSwap]])</f>
        <v>208.65761428713787</v>
      </c>
      <c r="AS43" s="2">
        <v>40.717922574095098</v>
      </c>
      <c r="AX43" s="4"/>
    </row>
    <row r="44" spans="1:53" x14ac:dyDescent="0.25">
      <c r="A44" t="s">
        <v>248</v>
      </c>
      <c r="B44">
        <v>253</v>
      </c>
      <c r="C44">
        <v>187</v>
      </c>
      <c r="D44">
        <v>48</v>
      </c>
      <c r="E44" s="315"/>
      <c r="F44">
        <v>0</v>
      </c>
      <c r="G44">
        <v>84</v>
      </c>
      <c r="H44">
        <v>60</v>
      </c>
      <c r="I44" s="476"/>
      <c r="J44">
        <v>145</v>
      </c>
      <c r="K44">
        <v>145</v>
      </c>
      <c r="L44">
        <v>148</v>
      </c>
      <c r="M44" s="477"/>
      <c r="Q44" s="4"/>
      <c r="U44" s="4"/>
      <c r="Y44" s="4"/>
      <c r="Z44">
        <f t="shared" si="0"/>
        <v>255</v>
      </c>
      <c r="AA44">
        <f t="shared" si="1"/>
        <v>127.5</v>
      </c>
      <c r="AB44">
        <f t="shared" si="2"/>
        <v>0</v>
      </c>
      <c r="AC44" s="28"/>
      <c r="AD44">
        <f t="shared" si="3"/>
        <v>0</v>
      </c>
      <c r="AE44">
        <f t="shared" si="4"/>
        <v>127.5</v>
      </c>
      <c r="AF44">
        <f t="shared" si="5"/>
        <v>0</v>
      </c>
      <c r="AG44" s="34"/>
      <c r="AH44">
        <f t="shared" si="6"/>
        <v>127.5</v>
      </c>
      <c r="AI44">
        <f t="shared" si="7"/>
        <v>127.5</v>
      </c>
      <c r="AJ44">
        <f t="shared" si="8"/>
        <v>127.5</v>
      </c>
      <c r="AK44" s="32"/>
      <c r="AL44">
        <f>SQRT((2+(($AL$3+Table4[[#This Row],[Red]])/2)/256)*($AL$3-Table4[[#This Row],[Red]])^2 + 4*($AM$3-Table4[[#This Row],[Green]])^2 + (2+(255-(($AL$3+Table4[[#This Row],[Red]])/2))/256 )*($AN$3-Table4[[#This Row],[Blue]])^2)</f>
        <v>76.973818600872335</v>
      </c>
      <c r="AM44">
        <f>SQRT((2+(($AO$3+Table4[[#This Row],[Red2]])/2)/256)*($AO$3-Table4[[#This Row],[Red2]])^2 + 4*($AP$3-Table4[[#This Row],[Green2]])^2 + (2+(255-(($AO$3+Table4[[#This Row],[Red2]])/2))/256 )*($AQ$3-Table4[[#This Row],[Blue2]])^2)</f>
        <v>197.50933522241422</v>
      </c>
      <c r="AN44">
        <f>SQRT(Table4[[#This Row],[diffPrimary]]^2+Table4[[#This Row],[diffSecondary]]^2)</f>
        <v>211.97855139140844</v>
      </c>
      <c r="AO44" s="2">
        <f>SQRT((2+(($AL$3+Table4[[#This Row],[Red2]])/2)/256)*($AL$3-Table4[[#This Row],[Red2]])^2 + 4*($AM$3-Table4[[#This Row],[Green2]])^2 + (2+(255-(($AL$3+Table4[[#This Row],[Red2]])/2))/256 )*($AN$3-Table4[[#This Row],[Blue2]])^2)</f>
        <v>479.57529835978312</v>
      </c>
      <c r="AP44" s="2">
        <f>SQRT((2+(($AO$3+Table4[[#This Row],[Red]])/2)/256)*($AO$3-Table4[[#This Row],[Red]])^2 + 4*($AP$3-Table4[[#This Row],[Green]])^2 + (2+(255-(($AO$3+Table4[[#This Row],[Red]])/2))/256 )*($AQ$3-Table4[[#This Row],[Blue]])^2)</f>
        <v>552.52868456363876</v>
      </c>
      <c r="AQ44" s="2">
        <f>SQRT(Table4[[#This Row],[diffPrimary2]]^2+Table4[[#This Row],[diffSecondary2]]^2)</f>
        <v>731.62860391218987</v>
      </c>
      <c r="AR44" s="786">
        <f>MIN(Table4[[#This Row],[MinOrig]],Table4[[#This Row],[MinSwap]])</f>
        <v>211.97855139140844</v>
      </c>
      <c r="AS44" s="2">
        <v>42.087311590014899</v>
      </c>
      <c r="AX44" s="4"/>
    </row>
    <row r="45" spans="1:53" x14ac:dyDescent="0.25">
      <c r="A45" t="s">
        <v>139</v>
      </c>
      <c r="B45">
        <v>101</v>
      </c>
      <c r="C45">
        <v>54</v>
      </c>
      <c r="D45">
        <v>0</v>
      </c>
      <c r="E45" s="323"/>
      <c r="F45">
        <v>255</v>
      </c>
      <c r="G45">
        <v>210</v>
      </c>
      <c r="H45">
        <v>79</v>
      </c>
      <c r="I45" s="324"/>
      <c r="J45">
        <v>229</v>
      </c>
      <c r="K45">
        <v>25</v>
      </c>
      <c r="L45">
        <v>55</v>
      </c>
      <c r="M45" s="20"/>
      <c r="N45">
        <v>153</v>
      </c>
      <c r="O45">
        <v>71</v>
      </c>
      <c r="P45">
        <v>8</v>
      </c>
      <c r="Q45" s="325"/>
      <c r="R45">
        <v>207</v>
      </c>
      <c r="S45">
        <v>171</v>
      </c>
      <c r="T45">
        <v>122</v>
      </c>
      <c r="U45" s="326"/>
      <c r="V45">
        <v>0</v>
      </c>
      <c r="W45">
        <v>112</v>
      </c>
      <c r="X45">
        <v>60</v>
      </c>
      <c r="Y45" s="327"/>
      <c r="Z45">
        <f t="shared" si="0"/>
        <v>127.5</v>
      </c>
      <c r="AA45">
        <f t="shared" si="1"/>
        <v>0</v>
      </c>
      <c r="AB45">
        <f t="shared" si="2"/>
        <v>0</v>
      </c>
      <c r="AC45" s="27"/>
      <c r="AD45">
        <f t="shared" si="3"/>
        <v>255</v>
      </c>
      <c r="AE45">
        <f t="shared" si="4"/>
        <v>255</v>
      </c>
      <c r="AF45">
        <f t="shared" si="5"/>
        <v>127.5</v>
      </c>
      <c r="AG45" s="29"/>
      <c r="AH45">
        <f t="shared" si="6"/>
        <v>255</v>
      </c>
      <c r="AI45">
        <f t="shared" si="7"/>
        <v>0</v>
      </c>
      <c r="AJ45">
        <f t="shared" si="8"/>
        <v>0</v>
      </c>
      <c r="AK45" s="5"/>
      <c r="AL45">
        <f>SQRT((2+(($AL$3+Table4[[#This Row],[Red]])/2)/256)*($AL$3-Table4[[#This Row],[Red]])^2 + 4*($AM$3-Table4[[#This Row],[Green]])^2 + (2+(255-(($AL$3+Table4[[#This Row],[Red]])/2))/256 )*($AN$3-Table4[[#This Row],[Blue]])^2)</f>
        <v>393.86042102501239</v>
      </c>
      <c r="AM45">
        <f>SQRT((2+(($AO$3+Table4[[#This Row],[Red2]])/2)/256)*($AO$3-Table4[[#This Row],[Red2]])^2 + 4*($AP$3-Table4[[#This Row],[Green2]])^2 + (2+(255-(($AO$3+Table4[[#This Row],[Red2]])/2))/256 )*($AQ$3-Table4[[#This Row],[Blue2]])^2)</f>
        <v>595.33671866746977</v>
      </c>
      <c r="AN45">
        <f>SQRT(Table4[[#This Row],[diffPrimary]]^2+Table4[[#This Row],[diffSecondary]]^2)</f>
        <v>713.8289990212993</v>
      </c>
      <c r="AO45" s="2">
        <f>SQRT((2+(($AL$3+Table4[[#This Row],[Red2]])/2)/256)*($AL$3-Table4[[#This Row],[Red2]])^2 + 4*($AM$3-Table4[[#This Row],[Green2]])^2 + (2+(255-(($AL$3+Table4[[#This Row],[Red2]])/2))/256 )*($AN$3-Table4[[#This Row],[Blue2]])^2)</f>
        <v>112.1695145750395</v>
      </c>
      <c r="AP45" s="2">
        <f>SQRT((2+(($AO$3+Table4[[#This Row],[Red]])/2)/256)*($AO$3-Table4[[#This Row],[Red]])^2 + 4*($AP$3-Table4[[#This Row],[Green]])^2 + (2+(255-(($AO$3+Table4[[#This Row],[Red]])/2))/256 )*($AQ$3-Table4[[#This Row],[Blue]])^2)</f>
        <v>184.60310571771268</v>
      </c>
      <c r="AQ45" s="2">
        <f>SQRT(Table4[[#This Row],[diffPrimary2]]^2+Table4[[#This Row],[diffSecondary2]]^2)</f>
        <v>216.00996884547945</v>
      </c>
      <c r="AR45" s="786">
        <f>MIN(Table4[[#This Row],[MinOrig]],Table4[[#This Row],[MinSwap]])</f>
        <v>216.00996884547945</v>
      </c>
      <c r="AS45" s="2">
        <v>85.636005223416404</v>
      </c>
      <c r="AX45" s="4"/>
    </row>
    <row r="46" spans="1:53" x14ac:dyDescent="0.25">
      <c r="A46" t="s">
        <v>284</v>
      </c>
      <c r="B46">
        <v>247</v>
      </c>
      <c r="C46">
        <v>151</v>
      </c>
      <c r="D46">
        <v>40</v>
      </c>
      <c r="E46" s="582"/>
      <c r="F46">
        <v>0</v>
      </c>
      <c r="G46">
        <v>42</v>
      </c>
      <c r="H46">
        <v>91</v>
      </c>
      <c r="I46" s="583"/>
      <c r="M46" s="4"/>
      <c r="Q46" s="4"/>
      <c r="U46" s="4"/>
      <c r="Y46" s="4"/>
      <c r="Z46">
        <f t="shared" si="0"/>
        <v>255</v>
      </c>
      <c r="AA46">
        <f t="shared" si="1"/>
        <v>127.5</v>
      </c>
      <c r="AB46">
        <f t="shared" si="2"/>
        <v>0</v>
      </c>
      <c r="AC46" s="28"/>
      <c r="AD46">
        <f t="shared" si="3"/>
        <v>0</v>
      </c>
      <c r="AE46">
        <f t="shared" si="4"/>
        <v>0</v>
      </c>
      <c r="AF46">
        <f t="shared" si="5"/>
        <v>127.5</v>
      </c>
      <c r="AG46" s="26"/>
      <c r="AH46">
        <f t="shared" si="6"/>
        <v>0</v>
      </c>
      <c r="AI46">
        <f t="shared" si="7"/>
        <v>0</v>
      </c>
      <c r="AJ46">
        <f t="shared" si="8"/>
        <v>0</v>
      </c>
      <c r="AK46" s="4"/>
      <c r="AL46">
        <f>SQRT((2+(($AL$3+Table4[[#This Row],[Red]])/2)/256)*($AL$3-Table4[[#This Row],[Red]])^2 + 4*($AM$3-Table4[[#This Row],[Green]])^2 + (2+(255-(($AL$3+Table4[[#This Row],[Red]])/2))/256 )*($AN$3-Table4[[#This Row],[Blue]])^2)</f>
        <v>122.79963354994183</v>
      </c>
      <c r="AM46">
        <f>SQRT((2+(($AO$3+Table4[[#This Row],[Red2]])/2)/256)*($AO$3-Table4[[#This Row],[Red2]])^2 + 4*($AP$3-Table4[[#This Row],[Green2]])^2 + (2+(255-(($AO$3+Table4[[#This Row],[Red2]])/2))/256 )*($AQ$3-Table4[[#This Row],[Blue2]])^2)</f>
        <v>178.51233106917292</v>
      </c>
      <c r="AN46">
        <f>SQRT(Table4[[#This Row],[diffPrimary]]^2+Table4[[#This Row],[diffSecondary]]^2)</f>
        <v>216.67118484872418</v>
      </c>
      <c r="AO46" s="2">
        <f>SQRT((2+(($AL$3+Table4[[#This Row],[Red2]])/2)/256)*($AL$3-Table4[[#This Row],[Red2]])^2 + 4*($AM$3-Table4[[#This Row],[Green2]])^2 + (2+(255-(($AL$3+Table4[[#This Row],[Red2]])/2))/256 )*($AN$3-Table4[[#This Row],[Blue2]])^2)</f>
        <v>537.95708399346313</v>
      </c>
      <c r="AP46" s="2">
        <f>SQRT((2+(($AO$3+Table4[[#This Row],[Red]])/2)/256)*($AO$3-Table4[[#This Row],[Red]])^2 + 4*($AP$3-Table4[[#This Row],[Green]])^2 + (2+(255-(($AO$3+Table4[[#This Row],[Red]])/2))/256 )*($AQ$3-Table4[[#This Row],[Blue]])^2)</f>
        <v>496.66482779825975</v>
      </c>
      <c r="AQ46" s="2">
        <f>SQRT(Table4[[#This Row],[diffPrimary2]]^2+Table4[[#This Row],[diffSecondary2]]^2)</f>
        <v>732.17059172751874</v>
      </c>
      <c r="AR46" s="786">
        <f>MIN(Table4[[#This Row],[MinOrig]],Table4[[#This Row],[MinSwap]])</f>
        <v>216.67118484872418</v>
      </c>
      <c r="AS46" s="2">
        <v>71.627849528832002</v>
      </c>
      <c r="AX46" s="4"/>
    </row>
    <row r="47" spans="1:53" x14ac:dyDescent="0.25">
      <c r="A47" t="s">
        <v>412</v>
      </c>
      <c r="B47">
        <v>0</v>
      </c>
      <c r="C47">
        <v>55</v>
      </c>
      <c r="D47">
        <v>104</v>
      </c>
      <c r="E47" s="16"/>
      <c r="F47">
        <v>253</v>
      </c>
      <c r="G47">
        <v>184</v>
      </c>
      <c r="H47">
        <v>19</v>
      </c>
      <c r="I47" s="60"/>
      <c r="M47" s="4"/>
      <c r="Q47" s="4"/>
      <c r="U47" s="4"/>
      <c r="Y47" s="4"/>
      <c r="Z47">
        <f t="shared" si="0"/>
        <v>0</v>
      </c>
      <c r="AA47">
        <f t="shared" si="1"/>
        <v>0</v>
      </c>
      <c r="AB47">
        <f t="shared" si="2"/>
        <v>127.5</v>
      </c>
      <c r="AC47" s="26"/>
      <c r="AD47">
        <f t="shared" si="3"/>
        <v>255</v>
      </c>
      <c r="AE47">
        <f t="shared" si="4"/>
        <v>127.5</v>
      </c>
      <c r="AF47">
        <f t="shared" si="5"/>
        <v>0</v>
      </c>
      <c r="AG47" s="28"/>
      <c r="AK47" s="4"/>
      <c r="AL47">
        <f>SQRT((2+(($AL$3+Table4[[#This Row],[Red]])/2)/256)*($AL$3-Table4[[#This Row],[Red]])^2 + 4*($AM$3-Table4[[#This Row],[Green]])^2 + (2+(255-(($AL$3+Table4[[#This Row],[Red]])/2))/256 )*($AN$3-Table4[[#This Row],[Blue]])^2)</f>
        <v>528.63444179023656</v>
      </c>
      <c r="AM47">
        <f>SQRT((2+(($AO$3+Table4[[#This Row],[Red2]])/2)/256)*($AO$3-Table4[[#This Row],[Red2]])^2 + 4*($AP$3-Table4[[#This Row],[Green2]])^2 + (2+(255-(($AO$3+Table4[[#This Row],[Red2]])/2))/256 )*($AQ$3-Table4[[#This Row],[Blue2]])^2)</f>
        <v>544.03552489129788</v>
      </c>
      <c r="AN47">
        <f>SQRT(Table4[[#This Row],[diffPrimary]]^2+Table4[[#This Row],[diffSecondary]]^2)</f>
        <v>758.57038262156334</v>
      </c>
      <c r="AO47" s="2">
        <f>SQRT((2+(($AL$3+Table4[[#This Row],[Red2]])/2)/256)*($AL$3-Table4[[#This Row],[Red2]])^2 + 4*($AM$3-Table4[[#This Row],[Green2]])^2 + (2+(255-(($AL$3+Table4[[#This Row],[Red2]])/2))/256 )*($AN$3-Table4[[#This Row],[Blue2]])^2)</f>
        <v>49.993788676694628</v>
      </c>
      <c r="AP47" s="2">
        <f>SQRT((2+(($AO$3+Table4[[#This Row],[Red]])/2)/256)*($AO$3-Table4[[#This Row],[Red]])^2 + 4*($AP$3-Table4[[#This Row],[Green]])^2 + (2+(255-(($AO$3+Table4[[#This Row],[Red]])/2))/256 )*($AQ$3-Table4[[#This Row],[Blue]])^2)</f>
        <v>210.96385946412718</v>
      </c>
      <c r="AQ47" s="2">
        <f>SQRT(Table4[[#This Row],[diffPrimary2]]^2+Table4[[#This Row],[diffSecondary2]]^2)</f>
        <v>216.80666250429206</v>
      </c>
      <c r="AR47" s="786">
        <f>MIN(Table4[[#This Row],[MinOrig]],Table4[[#This Row],[MinSwap]])</f>
        <v>216.80666250429206</v>
      </c>
      <c r="AS47" s="2">
        <v>16.4548981119605</v>
      </c>
      <c r="AX47" s="4"/>
    </row>
    <row r="48" spans="1:53" x14ac:dyDescent="0.25">
      <c r="A48" t="s">
        <v>231</v>
      </c>
      <c r="B48">
        <v>206</v>
      </c>
      <c r="C48">
        <v>184</v>
      </c>
      <c r="D48">
        <v>136</v>
      </c>
      <c r="E48" s="247"/>
      <c r="F48">
        <v>0</v>
      </c>
      <c r="G48">
        <v>0</v>
      </c>
      <c r="H48">
        <v>0</v>
      </c>
      <c r="I48" s="4"/>
      <c r="J48">
        <v>157</v>
      </c>
      <c r="K48">
        <v>150</v>
      </c>
      <c r="L48">
        <v>141</v>
      </c>
      <c r="M48" s="451"/>
      <c r="N48">
        <v>55</v>
      </c>
      <c r="O48">
        <v>58</v>
      </c>
      <c r="P48">
        <v>54</v>
      </c>
      <c r="Q48" s="448"/>
      <c r="R48">
        <v>194</v>
      </c>
      <c r="S48">
        <v>142</v>
      </c>
      <c r="T48">
        <v>12</v>
      </c>
      <c r="U48" s="452"/>
      <c r="Y48" s="4"/>
      <c r="Z48">
        <f t="shared" si="0"/>
        <v>255</v>
      </c>
      <c r="AA48">
        <f t="shared" si="1"/>
        <v>127.5</v>
      </c>
      <c r="AB48">
        <f t="shared" si="2"/>
        <v>127.5</v>
      </c>
      <c r="AC48" s="25"/>
      <c r="AD48">
        <f t="shared" si="3"/>
        <v>0</v>
      </c>
      <c r="AE48">
        <f t="shared" si="4"/>
        <v>0</v>
      </c>
      <c r="AF48">
        <f t="shared" si="5"/>
        <v>0</v>
      </c>
      <c r="AG48" s="4"/>
      <c r="AH48">
        <f t="shared" ref="AH48:AH79" si="9">ROUND(J48/255*$AA$2,0)*$AC$2/$AA$2</f>
        <v>127.5</v>
      </c>
      <c r="AI48">
        <f t="shared" ref="AI48:AI79" si="10">ROUND(K48/255*$AA$2,0)*$AC$2/$AA$2</f>
        <v>127.5</v>
      </c>
      <c r="AJ48">
        <f t="shared" ref="AJ48:AJ79" si="11">ROUND(L48/255*$AA$2,0)*$AC$2/$AA$2</f>
        <v>127.5</v>
      </c>
      <c r="AK48" s="32"/>
      <c r="AL48">
        <f>SQRT((2+(($AL$3+Table4[[#This Row],[Red]])/2)/256)*($AL$3-Table4[[#This Row],[Red]])^2 + 4*($AM$3-Table4[[#This Row],[Green]])^2 + (2+(255-(($AL$3+Table4[[#This Row],[Red]])/2))/256 )*($AN$3-Table4[[#This Row],[Blue]])^2)</f>
        <v>217.92191925234368</v>
      </c>
      <c r="AM48">
        <f>SQRT((2+(($AO$3+Table4[[#This Row],[Red2]])/2)/256)*($AO$3-Table4[[#This Row],[Red2]])^2 + 4*($AP$3-Table4[[#This Row],[Green2]])^2 + (2+(255-(($AO$3+Table4[[#This Row],[Red2]])/2))/256 )*($AQ$3-Table4[[#This Row],[Blue2]])^2)</f>
        <v>0</v>
      </c>
      <c r="AN48">
        <f>SQRT(Table4[[#This Row],[diffPrimary]]^2+Table4[[#This Row],[diffSecondary]]^2)</f>
        <v>217.92191925234368</v>
      </c>
      <c r="AO48" s="2">
        <f>SQRT((2+(($AL$3+Table4[[#This Row],[Red2]])/2)/256)*($AL$3-Table4[[#This Row],[Red2]])^2 + 4*($AM$3-Table4[[#This Row],[Green2]])^2 + (2+(255-(($AL$3+Table4[[#This Row],[Red2]])/2))/256 )*($AN$3-Table4[[#This Row],[Blue2]])^2)</f>
        <v>574.92216694686158</v>
      </c>
      <c r="AP48" s="2">
        <f>SQRT((2+(($AO$3+Table4[[#This Row],[Red]])/2)/256)*($AO$3-Table4[[#This Row],[Red]])^2 + 4*($AP$3-Table4[[#This Row],[Green]])^2 + (2+(255-(($AO$3+Table4[[#This Row],[Red]])/2))/256 )*($AQ$3-Table4[[#This Row],[Blue]])^2)</f>
        <v>534.17586933050427</v>
      </c>
      <c r="AQ48" s="2">
        <f>SQRT(Table4[[#This Row],[diffPrimary2]]^2+Table4[[#This Row],[diffSecondary2]]^2)</f>
        <v>784.77981461163677</v>
      </c>
      <c r="AR48" s="786">
        <f>MIN(Table4[[#This Row],[MinOrig]],Table4[[#This Row],[MinSwap]])</f>
        <v>217.92191925234368</v>
      </c>
      <c r="AS48" s="2">
        <v>17.835018660629402</v>
      </c>
      <c r="AX48" s="4"/>
    </row>
    <row r="49" spans="1:50" x14ac:dyDescent="0.25">
      <c r="A49" t="s">
        <v>207</v>
      </c>
      <c r="B49">
        <v>75</v>
      </c>
      <c r="C49">
        <v>17</v>
      </c>
      <c r="D49">
        <v>111</v>
      </c>
      <c r="E49" s="417"/>
      <c r="F49">
        <v>255</v>
      </c>
      <c r="G49">
        <v>204</v>
      </c>
      <c r="H49">
        <v>0</v>
      </c>
      <c r="I49" s="80"/>
      <c r="M49" s="4"/>
      <c r="Q49" s="4"/>
      <c r="U49" s="4"/>
      <c r="Y49" s="4"/>
      <c r="Z49">
        <f t="shared" si="0"/>
        <v>127.5</v>
      </c>
      <c r="AA49">
        <f t="shared" si="1"/>
        <v>0</v>
      </c>
      <c r="AB49">
        <f t="shared" si="2"/>
        <v>127.5</v>
      </c>
      <c r="AC49" s="30"/>
      <c r="AD49">
        <f t="shared" si="3"/>
        <v>255</v>
      </c>
      <c r="AE49">
        <f t="shared" si="4"/>
        <v>255</v>
      </c>
      <c r="AF49">
        <f t="shared" si="5"/>
        <v>0</v>
      </c>
      <c r="AG49" s="9"/>
      <c r="AH49">
        <f t="shared" si="9"/>
        <v>0</v>
      </c>
      <c r="AI49">
        <f t="shared" si="10"/>
        <v>0</v>
      </c>
      <c r="AJ49">
        <f t="shared" si="11"/>
        <v>0</v>
      </c>
      <c r="AK49" s="4"/>
      <c r="AL49">
        <f>SQRT((2+(($AL$3+Table4[[#This Row],[Red]])/2)/256)*($AL$3-Table4[[#This Row],[Red]])^2 + 4*($AM$3-Table4[[#This Row],[Green]])^2 + (2+(255-(($AL$3+Table4[[#This Row],[Red]])/2))/256 )*($AN$3-Table4[[#This Row],[Blue]])^2)</f>
        <v>505.99645657109102</v>
      </c>
      <c r="AM49">
        <f>SQRT((2+(($AO$3+Table4[[#This Row],[Red2]])/2)/256)*($AO$3-Table4[[#This Row],[Red2]])^2 + 4*($AP$3-Table4[[#This Row],[Green2]])^2 + (2+(255-(($AO$3+Table4[[#This Row],[Red2]])/2))/256 )*($AQ$3-Table4[[#This Row],[Blue2]])^2)</f>
        <v>573.49760073332038</v>
      </c>
      <c r="AN49">
        <f>SQRT(Table4[[#This Row],[diffPrimary]]^2+Table4[[#This Row],[diffSecondary]]^2)</f>
        <v>764.80841529717429</v>
      </c>
      <c r="AO49" s="2">
        <f>SQRT((2+(($AL$3+Table4[[#This Row],[Red2]])/2)/256)*($AL$3-Table4[[#This Row],[Red2]])^2 + 4*($AM$3-Table4[[#This Row],[Green2]])^2 + (2+(255-(($AL$3+Table4[[#This Row],[Red2]])/2))/256 )*($AN$3-Table4[[#This Row],[Blue2]])^2)</f>
        <v>2</v>
      </c>
      <c r="AP49" s="2">
        <f>SQRT((2+(($AO$3+Table4[[#This Row],[Red]])/2)/256)*($AO$3-Table4[[#This Row],[Red]])^2 + 4*($AP$3-Table4[[#This Row],[Green]])^2 + (2+(255-(($AO$3+Table4[[#This Row],[Red]])/2))/256 )*($AQ$3-Table4[[#This Row],[Blue]])^2)</f>
        <v>219.86362072600824</v>
      </c>
      <c r="AQ49" s="2">
        <f>SQRT(Table4[[#This Row],[diffPrimary2]]^2+Table4[[#This Row],[diffSecondary2]]^2)</f>
        <v>219.87271708593133</v>
      </c>
      <c r="AR49" s="786">
        <f>MIN(Table4[[#This Row],[MinOrig]],Table4[[#This Row],[MinSwap]])</f>
        <v>219.87271708593133</v>
      </c>
      <c r="AS49" s="2">
        <v>26.071641082793398</v>
      </c>
      <c r="AX49" s="4"/>
    </row>
    <row r="50" spans="1:50" x14ac:dyDescent="0.25">
      <c r="A50" t="s">
        <v>156</v>
      </c>
      <c r="B50">
        <v>0</v>
      </c>
      <c r="C50">
        <v>51</v>
      </c>
      <c r="D50">
        <v>102</v>
      </c>
      <c r="E50" s="82"/>
      <c r="F50">
        <v>205</v>
      </c>
      <c r="G50">
        <v>204</v>
      </c>
      <c r="H50">
        <v>0</v>
      </c>
      <c r="I50" s="362"/>
      <c r="M50" s="4"/>
      <c r="Q50" s="4"/>
      <c r="U50" s="4"/>
      <c r="Y50" s="4"/>
      <c r="Z50">
        <f t="shared" si="0"/>
        <v>0</v>
      </c>
      <c r="AA50">
        <f t="shared" si="1"/>
        <v>0</v>
      </c>
      <c r="AB50">
        <f t="shared" si="2"/>
        <v>127.5</v>
      </c>
      <c r="AC50" s="26"/>
      <c r="AD50">
        <f t="shared" si="3"/>
        <v>255</v>
      </c>
      <c r="AE50">
        <f t="shared" si="4"/>
        <v>255</v>
      </c>
      <c r="AF50">
        <f t="shared" si="5"/>
        <v>0</v>
      </c>
      <c r="AG50" s="9"/>
      <c r="AH50">
        <f t="shared" si="9"/>
        <v>0</v>
      </c>
      <c r="AI50">
        <f t="shared" si="10"/>
        <v>0</v>
      </c>
      <c r="AJ50">
        <f t="shared" si="11"/>
        <v>0</v>
      </c>
      <c r="AK50" s="4"/>
      <c r="AL50">
        <f>SQRT((2+(($AL$3+Table4[[#This Row],[Red]])/2)/256)*($AL$3-Table4[[#This Row],[Red]])^2 + 4*($AM$3-Table4[[#This Row],[Green]])^2 + (2+(255-(($AL$3+Table4[[#This Row],[Red]])/2))/256 )*($AN$3-Table4[[#This Row],[Blue]])^2)</f>
        <v>532.24916884329184</v>
      </c>
      <c r="AM50">
        <f>SQRT((2+(($AO$3+Table4[[#This Row],[Red2]])/2)/256)*($AO$3-Table4[[#This Row],[Red2]])^2 + 4*($AP$3-Table4[[#This Row],[Green2]])^2 + (2+(255-(($AO$3+Table4[[#This Row],[Red2]])/2))/256 )*($AQ$3-Table4[[#This Row],[Blue2]])^2)</f>
        <v>517.04972296252606</v>
      </c>
      <c r="AN50">
        <f>SQRT(Table4[[#This Row],[diffPrimary]]^2+Table4[[#This Row],[diffSecondary]]^2)</f>
        <v>742.04419932373298</v>
      </c>
      <c r="AO50" s="2">
        <f>SQRT((2+(($AL$3+Table4[[#This Row],[Red2]])/2)/256)*($AL$3-Table4[[#This Row],[Red2]])^2 + 4*($AM$3-Table4[[#This Row],[Green2]])^2 + (2+(255-(($AL$3+Table4[[#This Row],[Red2]])/2))/256 )*($AN$3-Table4[[#This Row],[Blue2]])^2)</f>
        <v>85.147482346808118</v>
      </c>
      <c r="AP50" s="2">
        <f>SQRT((2+(($AO$3+Table4[[#This Row],[Red]])/2)/256)*($AO$3-Table4[[#This Row],[Red]])^2 + 4*($AP$3-Table4[[#This Row],[Green]])^2 + (2+(255-(($AO$3+Table4[[#This Row],[Red]])/2))/256 )*($AQ$3-Table4[[#This Row],[Blue]])^2)</f>
        <v>203.90036629442332</v>
      </c>
      <c r="AQ50" s="2">
        <f>SQRT(Table4[[#This Row],[diffPrimary2]]^2+Table4[[#This Row],[diffSecondary2]]^2)</f>
        <v>220.96482327510864</v>
      </c>
      <c r="AR50" s="786">
        <f>MIN(Table4[[#This Row],[MinOrig]],Table4[[#This Row],[MinSwap]])</f>
        <v>220.96482327510864</v>
      </c>
      <c r="AS50" s="2">
        <v>79.429066232079094</v>
      </c>
      <c r="AX50" s="4"/>
    </row>
    <row r="51" spans="1:50" x14ac:dyDescent="0.25">
      <c r="A51" t="s">
        <v>334</v>
      </c>
      <c r="B51">
        <v>17</v>
      </c>
      <c r="C51">
        <v>87</v>
      </c>
      <c r="D51">
        <v>64</v>
      </c>
      <c r="E51" s="574"/>
      <c r="F51">
        <v>240</v>
      </c>
      <c r="G51">
        <v>179</v>
      </c>
      <c r="H51">
        <v>35</v>
      </c>
      <c r="I51" s="575"/>
      <c r="M51" s="4"/>
      <c r="Q51" s="4"/>
      <c r="U51" s="4"/>
      <c r="Y51" s="4"/>
      <c r="Z51">
        <f t="shared" si="0"/>
        <v>0</v>
      </c>
      <c r="AA51">
        <f t="shared" si="1"/>
        <v>127.5</v>
      </c>
      <c r="AB51">
        <f t="shared" si="2"/>
        <v>127.5</v>
      </c>
      <c r="AC51" s="24"/>
      <c r="AD51">
        <f t="shared" si="3"/>
        <v>255</v>
      </c>
      <c r="AE51">
        <f t="shared" si="4"/>
        <v>127.5</v>
      </c>
      <c r="AF51">
        <f t="shared" si="5"/>
        <v>0</v>
      </c>
      <c r="AG51" s="28"/>
      <c r="AH51">
        <f t="shared" si="9"/>
        <v>0</v>
      </c>
      <c r="AI51">
        <f t="shared" si="10"/>
        <v>0</v>
      </c>
      <c r="AJ51">
        <f t="shared" si="11"/>
        <v>0</v>
      </c>
      <c r="AK51" s="4"/>
      <c r="AL51">
        <f>SQRT((2+(($AL$3+Table4[[#This Row],[Red]])/2)/256)*($AL$3-Table4[[#This Row],[Red]])^2 + 4*($AM$3-Table4[[#This Row],[Green]])^2 + (2+(255-(($AL$3+Table4[[#This Row],[Red]])/2))/256 )*($AN$3-Table4[[#This Row],[Blue]])^2)</f>
        <v>457.35339180987825</v>
      </c>
      <c r="AM51">
        <f>SQRT((2+(($AO$3+Table4[[#This Row],[Red2]])/2)/256)*($AO$3-Table4[[#This Row],[Red2]])^2 + 4*($AP$3-Table4[[#This Row],[Green2]])^2 + (2+(255-(($AO$3+Table4[[#This Row],[Red2]])/2))/256 )*($AQ$3-Table4[[#This Row],[Blue2]])^2)</f>
        <v>522.93402652127156</v>
      </c>
      <c r="AN51">
        <f>SQRT(Table4[[#This Row],[diffPrimary]]^2+Table4[[#This Row],[diffSecondary]]^2)</f>
        <v>694.71729580725855</v>
      </c>
      <c r="AO51" s="2">
        <f>SQRT((2+(($AL$3+Table4[[#This Row],[Red2]])/2)/256)*($AL$3-Table4[[#This Row],[Red2]])^2 + 4*($AM$3-Table4[[#This Row],[Green2]])^2 + (2+(255-(($AL$3+Table4[[#This Row],[Red2]])/2))/256 )*($AN$3-Table4[[#This Row],[Blue2]])^2)</f>
        <v>76.533770119797438</v>
      </c>
      <c r="AP51" s="2">
        <f>SQRT((2+(($AO$3+Table4[[#This Row],[Red]])/2)/256)*($AO$3-Table4[[#This Row],[Red]])^2 + 4*($AP$3-Table4[[#This Row],[Green]])^2 + (2+(255-(($AO$3+Table4[[#This Row],[Red]])/2))/256 )*($AQ$3-Table4[[#This Row],[Blue]])^2)</f>
        <v>207.36343868465579</v>
      </c>
      <c r="AQ51" s="2">
        <f>SQRT(Table4[[#This Row],[diffPrimary2]]^2+Table4[[#This Row],[diffSecondary2]]^2)</f>
        <v>221.03622705763641</v>
      </c>
      <c r="AR51" s="786">
        <f>MIN(Table4[[#This Row],[MinOrig]],Table4[[#This Row],[MinSwap]])</f>
        <v>221.03622705763641</v>
      </c>
      <c r="AS51" s="2">
        <v>42.087311590014899</v>
      </c>
      <c r="AX51" s="4"/>
    </row>
    <row r="52" spans="1:50" x14ac:dyDescent="0.25">
      <c r="A52" t="s">
        <v>200</v>
      </c>
      <c r="B52">
        <v>0</v>
      </c>
      <c r="C52">
        <v>102</v>
      </c>
      <c r="D52">
        <v>51</v>
      </c>
      <c r="E52" s="133"/>
      <c r="F52">
        <v>255</v>
      </c>
      <c r="G52">
        <v>204</v>
      </c>
      <c r="H52">
        <v>0</v>
      </c>
      <c r="I52" s="80"/>
      <c r="M52" s="4"/>
      <c r="Q52" s="4"/>
      <c r="U52" s="4"/>
      <c r="Y52" s="4"/>
      <c r="Z52">
        <f t="shared" si="0"/>
        <v>0</v>
      </c>
      <c r="AA52">
        <f t="shared" si="1"/>
        <v>127.5</v>
      </c>
      <c r="AB52">
        <f t="shared" si="2"/>
        <v>0</v>
      </c>
      <c r="AC52" s="34"/>
      <c r="AD52">
        <f t="shared" si="3"/>
        <v>255</v>
      </c>
      <c r="AE52">
        <f t="shared" si="4"/>
        <v>255</v>
      </c>
      <c r="AF52">
        <f t="shared" si="5"/>
        <v>0</v>
      </c>
      <c r="AG52" s="9"/>
      <c r="AH52">
        <f t="shared" si="9"/>
        <v>0</v>
      </c>
      <c r="AI52">
        <f t="shared" si="10"/>
        <v>0</v>
      </c>
      <c r="AJ52">
        <f t="shared" si="11"/>
        <v>0</v>
      </c>
      <c r="AK52" s="4"/>
      <c r="AL52">
        <f>SQRT((2+(($AL$3+Table4[[#This Row],[Red]])/2)/256)*($AL$3-Table4[[#This Row],[Red]])^2 + 4*($AM$3-Table4[[#This Row],[Green]])^2 + (2+(255-(($AL$3+Table4[[#This Row],[Red]])/2))/256 )*($AN$3-Table4[[#This Row],[Blue]])^2)</f>
        <v>459.74875526612357</v>
      </c>
      <c r="AM52">
        <f>SQRT((2+(($AO$3+Table4[[#This Row],[Red2]])/2)/256)*($AO$3-Table4[[#This Row],[Red2]])^2 + 4*($AP$3-Table4[[#This Row],[Green2]])^2 + (2+(255-(($AO$3+Table4[[#This Row],[Red2]])/2))/256 )*($AQ$3-Table4[[#This Row],[Blue2]])^2)</f>
        <v>573.49760073332038</v>
      </c>
      <c r="AN52">
        <f>SQRT(Table4[[#This Row],[diffPrimary]]^2+Table4[[#This Row],[diffSecondary]]^2)</f>
        <v>735.02953411113003</v>
      </c>
      <c r="AO52" s="2">
        <f>SQRT((2+(($AL$3+Table4[[#This Row],[Red2]])/2)/256)*($AL$3-Table4[[#This Row],[Red2]])^2 + 4*($AM$3-Table4[[#This Row],[Green2]])^2 + (2+(255-(($AL$3+Table4[[#This Row],[Red2]])/2))/256 )*($AN$3-Table4[[#This Row],[Blue2]])^2)</f>
        <v>2</v>
      </c>
      <c r="AP52" s="2">
        <f>SQRT((2+(($AO$3+Table4[[#This Row],[Red]])/2)/256)*($AO$3-Table4[[#This Row],[Red]])^2 + 4*($AP$3-Table4[[#This Row],[Green]])^2 + (2+(255-(($AO$3+Table4[[#This Row],[Red]])/2))/256 )*($AQ$3-Table4[[#This Row],[Blue]])^2)</f>
        <v>222.28099298804204</v>
      </c>
      <c r="AQ52" s="2">
        <f>SQRT(Table4[[#This Row],[diffPrimary2]]^2+Table4[[#This Row],[diffSecondary2]]^2)</f>
        <v>222.28999042635726</v>
      </c>
      <c r="AR52" s="786">
        <f>MIN(Table4[[#This Row],[MinOrig]],Table4[[#This Row],[MinSwap]])</f>
        <v>222.28999042635726</v>
      </c>
      <c r="AS52" s="2">
        <v>80.934688657738107</v>
      </c>
      <c r="AX52" s="4"/>
    </row>
    <row r="53" spans="1:50" x14ac:dyDescent="0.25">
      <c r="A53" t="s">
        <v>6</v>
      </c>
      <c r="B53">
        <v>70</v>
      </c>
      <c r="C53">
        <v>22</v>
      </c>
      <c r="D53">
        <v>107</v>
      </c>
      <c r="E53" s="75"/>
      <c r="F53">
        <v>238</v>
      </c>
      <c r="G53">
        <v>178</v>
      </c>
      <c r="H53">
        <v>17</v>
      </c>
      <c r="I53" s="17"/>
      <c r="M53" s="4"/>
      <c r="Q53" s="4"/>
      <c r="U53" s="4"/>
      <c r="Y53" s="4"/>
      <c r="Z53">
        <f t="shared" si="0"/>
        <v>127.5</v>
      </c>
      <c r="AA53">
        <f t="shared" si="1"/>
        <v>0</v>
      </c>
      <c r="AB53">
        <f t="shared" si="2"/>
        <v>127.5</v>
      </c>
      <c r="AC53" s="30"/>
      <c r="AD53">
        <f t="shared" si="3"/>
        <v>255</v>
      </c>
      <c r="AE53">
        <f t="shared" si="4"/>
        <v>127.5</v>
      </c>
      <c r="AF53">
        <f t="shared" si="5"/>
        <v>0</v>
      </c>
      <c r="AG53" s="28"/>
      <c r="AH53">
        <f t="shared" si="9"/>
        <v>0</v>
      </c>
      <c r="AI53">
        <f t="shared" si="10"/>
        <v>0</v>
      </c>
      <c r="AJ53">
        <f t="shared" si="11"/>
        <v>0</v>
      </c>
      <c r="AK53" s="4"/>
      <c r="AL53">
        <f>SQRT((2+(($AL$3+Table4[[#This Row],[Red]])/2)/256)*($AL$3-Table4[[#This Row],[Red]])^2 + 4*($AM$3-Table4[[#This Row],[Green]])^2 + (2+(255-(($AL$3+Table4[[#This Row],[Red]])/2))/256 )*($AN$3-Table4[[#This Row],[Blue]])^2)</f>
        <v>501.16434352291066</v>
      </c>
      <c r="AM53">
        <f>SQRT((2+(($AO$3+Table4[[#This Row],[Red2]])/2)/256)*($AO$3-Table4[[#This Row],[Red2]])^2 + 4*($AP$3-Table4[[#This Row],[Green2]])^2 + (2+(255-(($AO$3+Table4[[#This Row],[Red2]])/2))/256 )*($AQ$3-Table4[[#This Row],[Blue2]])^2)</f>
        <v>516.80377381071821</v>
      </c>
      <c r="AN53">
        <f>SQRT(Table4[[#This Row],[diffPrimary]]^2+Table4[[#This Row],[diffSecondary]]^2)</f>
        <v>719.89710365006329</v>
      </c>
      <c r="AO53" s="2">
        <f>SQRT((2+(($AL$3+Table4[[#This Row],[Red2]])/2)/256)*($AL$3-Table4[[#This Row],[Red2]])^2 + 4*($AM$3-Table4[[#This Row],[Green2]])^2 + (2+(255-(($AL$3+Table4[[#This Row],[Red2]])/2))/256 )*($AN$3-Table4[[#This Row],[Blue2]])^2)</f>
        <v>66.029319955228985</v>
      </c>
      <c r="AP53" s="2">
        <f>SQRT((2+(($AO$3+Table4[[#This Row],[Red]])/2)/256)*($AO$3-Table4[[#This Row],[Red]])^2 + 4*($AP$3-Table4[[#This Row],[Green]])^2 + (2+(255-(($AO$3+Table4[[#This Row],[Red]])/2))/256 )*($AQ$3-Table4[[#This Row],[Blue]])^2)</f>
        <v>212.46860062136241</v>
      </c>
      <c r="AQ53" s="2">
        <f>SQRT(Table4[[#This Row],[diffPrimary2]]^2+Table4[[#This Row],[diffSecondary2]]^2)</f>
        <v>222.4921961412355</v>
      </c>
      <c r="AR53" s="786">
        <f>MIN(Table4[[#This Row],[MinOrig]],Table4[[#This Row],[MinSwap]])</f>
        <v>222.4921961412355</v>
      </c>
      <c r="AS53" s="2">
        <v>49.882067951569503</v>
      </c>
      <c r="AX53" s="4"/>
    </row>
    <row r="54" spans="1:50" x14ac:dyDescent="0.25">
      <c r="A54" t="s">
        <v>37</v>
      </c>
      <c r="B54">
        <v>0</v>
      </c>
      <c r="C54">
        <v>39</v>
      </c>
      <c r="D54">
        <v>76</v>
      </c>
      <c r="E54" s="140"/>
      <c r="F54">
        <v>220</v>
      </c>
      <c r="G54">
        <v>130</v>
      </c>
      <c r="H54">
        <v>24</v>
      </c>
      <c r="I54" s="141"/>
      <c r="J54">
        <v>255</v>
      </c>
      <c r="K54">
        <v>255</v>
      </c>
      <c r="L54">
        <v>255</v>
      </c>
      <c r="M54" s="3"/>
      <c r="Q54" s="4"/>
      <c r="U54" s="4"/>
      <c r="Y54" s="4"/>
      <c r="Z54">
        <f t="shared" si="0"/>
        <v>0</v>
      </c>
      <c r="AA54">
        <f t="shared" si="1"/>
        <v>0</v>
      </c>
      <c r="AB54">
        <f t="shared" si="2"/>
        <v>127.5</v>
      </c>
      <c r="AC54" s="26"/>
      <c r="AD54">
        <f t="shared" si="3"/>
        <v>255</v>
      </c>
      <c r="AE54">
        <f t="shared" si="4"/>
        <v>127.5</v>
      </c>
      <c r="AF54">
        <f t="shared" si="5"/>
        <v>0</v>
      </c>
      <c r="AG54" s="28"/>
      <c r="AH54">
        <f t="shared" si="9"/>
        <v>255</v>
      </c>
      <c r="AI54">
        <f t="shared" si="10"/>
        <v>255</v>
      </c>
      <c r="AJ54">
        <f t="shared" si="11"/>
        <v>255</v>
      </c>
      <c r="AK54" s="3"/>
      <c r="AL54">
        <f>SQRT((2+(($AL$3+Table4[[#This Row],[Red]])/2)/256)*($AL$3-Table4[[#This Row],[Red]])^2 + 4*($AM$3-Table4[[#This Row],[Green]])^2 + (2+(255-(($AL$3+Table4[[#This Row],[Red]])/2))/256 )*($AN$3-Table4[[#This Row],[Blue]])^2)</f>
        <v>535.80613732662209</v>
      </c>
      <c r="AM54">
        <f>SQRT((2+(($AO$3+Table4[[#This Row],[Red2]])/2)/256)*($AO$3-Table4[[#This Row],[Red2]])^2 + 4*($AP$3-Table4[[#This Row],[Green2]])^2 + (2+(255-(($AO$3+Table4[[#This Row],[Red2]])/2))/256 )*($AQ$3-Table4[[#This Row],[Blue2]])^2)</f>
        <v>432.05916840173637</v>
      </c>
      <c r="AN54">
        <f>SQRT(Table4[[#This Row],[diffPrimary]]^2+Table4[[#This Row],[diffSecondary]]^2)</f>
        <v>688.3046867462657</v>
      </c>
      <c r="AO54" s="2">
        <f>SQRT((2+(($AL$3+Table4[[#This Row],[Red2]])/2)/256)*($AL$3-Table4[[#This Row],[Red2]])^2 + 4*($AM$3-Table4[[#This Row],[Green2]])^2 + (2+(255-(($AL$3+Table4[[#This Row],[Red2]])/2))/256 )*($AN$3-Table4[[#This Row],[Blue2]])^2)</f>
        <v>165.1600726851832</v>
      </c>
      <c r="AP54" s="2">
        <f>SQRT((2+(($AO$3+Table4[[#This Row],[Red]])/2)/256)*($AO$3-Table4[[#This Row],[Red]])^2 + 4*($AP$3-Table4[[#This Row],[Green]])^2 + (2+(255-(($AO$3+Table4[[#This Row],[Red]])/2))/256 )*($AQ$3-Table4[[#This Row],[Blue]])^2)</f>
        <v>152.93605689960756</v>
      </c>
      <c r="AQ54" s="2">
        <f>SQRT(Table4[[#This Row],[diffPrimary2]]^2+Table4[[#This Row],[diffSecondary2]]^2)</f>
        <v>225.0939517387684</v>
      </c>
      <c r="AR54" s="786">
        <f>MIN(Table4[[#This Row],[MinOrig]],Table4[[#This Row],[MinSwap]])</f>
        <v>225.0939517387684</v>
      </c>
      <c r="AS54" s="2">
        <v>43.518853672862299</v>
      </c>
      <c r="AX54" s="4"/>
    </row>
    <row r="55" spans="1:50" x14ac:dyDescent="0.25">
      <c r="A55" t="s">
        <v>17</v>
      </c>
      <c r="B55">
        <v>12</v>
      </c>
      <c r="C55">
        <v>35</v>
      </c>
      <c r="D55">
        <v>64</v>
      </c>
      <c r="E55" s="90"/>
      <c r="F55">
        <v>232</v>
      </c>
      <c r="G55">
        <v>119</v>
      </c>
      <c r="H55">
        <v>34</v>
      </c>
      <c r="I55" s="91"/>
      <c r="M55" s="4"/>
      <c r="Q55" s="4"/>
      <c r="U55" s="4"/>
      <c r="Y55" s="4"/>
      <c r="Z55">
        <f t="shared" si="0"/>
        <v>0</v>
      </c>
      <c r="AA55">
        <f t="shared" si="1"/>
        <v>0</v>
      </c>
      <c r="AB55">
        <f t="shared" si="2"/>
        <v>127.5</v>
      </c>
      <c r="AC55" s="26"/>
      <c r="AD55">
        <f t="shared" si="3"/>
        <v>255</v>
      </c>
      <c r="AE55">
        <f t="shared" si="4"/>
        <v>127.5</v>
      </c>
      <c r="AF55">
        <f t="shared" si="5"/>
        <v>0</v>
      </c>
      <c r="AG55" s="28"/>
      <c r="AH55">
        <f t="shared" si="9"/>
        <v>0</v>
      </c>
      <c r="AI55">
        <f t="shared" si="10"/>
        <v>0</v>
      </c>
      <c r="AJ55">
        <f t="shared" si="11"/>
        <v>0</v>
      </c>
      <c r="AK55" s="4"/>
      <c r="AL55">
        <f>SQRT((2+(($AL$3+Table4[[#This Row],[Red]])/2)/256)*($AL$3-Table4[[#This Row],[Red]])^2 + 4*($AM$3-Table4[[#This Row],[Green]])^2 + (2+(255-(($AL$3+Table4[[#This Row],[Red]])/2))/256 )*($AN$3-Table4[[#This Row],[Blue]])^2)</f>
        <v>524.04878671682377</v>
      </c>
      <c r="AM55">
        <f>SQRT((2+(($AO$3+Table4[[#This Row],[Red2]])/2)/256)*($AO$3-Table4[[#This Row],[Red2]])^2 + 4*($AP$3-Table4[[#This Row],[Green2]])^2 + (2+(255-(($AO$3+Table4[[#This Row],[Red2]])/2))/256 )*($AQ$3-Table4[[#This Row],[Blue2]])^2)</f>
        <v>437.74498497983961</v>
      </c>
      <c r="AN55">
        <f>SQRT(Table4[[#This Row],[diffPrimary]]^2+Table4[[#This Row],[diffSecondary]]^2)</f>
        <v>682.82340523328219</v>
      </c>
      <c r="AO55" s="2">
        <f>SQRT((2+(($AL$3+Table4[[#This Row],[Red2]])/2)/256)*($AL$3-Table4[[#This Row],[Red2]])^2 + 4*($AM$3-Table4[[#This Row],[Green2]])^2 + (2+(255-(($AL$3+Table4[[#This Row],[Red2]])/2))/256 )*($AN$3-Table4[[#This Row],[Blue2]])^2)</f>
        <v>183.0549087278869</v>
      </c>
      <c r="AP55" s="2">
        <f>SQRT((2+(($AO$3+Table4[[#This Row],[Red]])/2)/256)*($AO$3-Table4[[#This Row],[Red]])^2 + 4*($AP$3-Table4[[#This Row],[Green]])^2 + (2+(255-(($AO$3+Table4[[#This Row],[Red]])/2))/256 )*($AQ$3-Table4[[#This Row],[Blue]])^2)</f>
        <v>131.78533681711332</v>
      </c>
      <c r="AQ55" s="2">
        <f>SQRT(Table4[[#This Row],[diffPrimary2]]^2+Table4[[#This Row],[diffSecondary2]]^2)</f>
        <v>225.55814019754419</v>
      </c>
      <c r="AR55" s="786">
        <f>MIN(Table4[[#This Row],[MinOrig]],Table4[[#This Row],[MinSwap]])</f>
        <v>225.55814019754419</v>
      </c>
      <c r="AS55" s="2">
        <v>43.518853672862299</v>
      </c>
      <c r="AX55" s="4"/>
    </row>
    <row r="56" spans="1:50" x14ac:dyDescent="0.25">
      <c r="A56" t="s">
        <v>22</v>
      </c>
      <c r="B56">
        <v>253</v>
      </c>
      <c r="C56">
        <v>185</v>
      </c>
      <c r="D56">
        <v>19</v>
      </c>
      <c r="E56" s="99"/>
      <c r="F56">
        <v>134</v>
      </c>
      <c r="G56">
        <v>0</v>
      </c>
      <c r="H56">
        <v>56</v>
      </c>
      <c r="I56" s="100"/>
      <c r="J56">
        <v>255</v>
      </c>
      <c r="K56">
        <v>255</v>
      </c>
      <c r="L56">
        <v>255</v>
      </c>
      <c r="M56" s="3"/>
      <c r="Q56" s="4"/>
      <c r="U56" s="4"/>
      <c r="Y56" s="4"/>
      <c r="Z56">
        <f t="shared" si="0"/>
        <v>255</v>
      </c>
      <c r="AA56">
        <f t="shared" si="1"/>
        <v>127.5</v>
      </c>
      <c r="AB56">
        <f t="shared" si="2"/>
        <v>0</v>
      </c>
      <c r="AC56" s="28"/>
      <c r="AD56">
        <f t="shared" si="3"/>
        <v>127.5</v>
      </c>
      <c r="AE56">
        <f t="shared" si="4"/>
        <v>0</v>
      </c>
      <c r="AF56">
        <f t="shared" si="5"/>
        <v>0</v>
      </c>
      <c r="AG56" s="27"/>
      <c r="AH56">
        <f t="shared" si="9"/>
        <v>255</v>
      </c>
      <c r="AI56">
        <f t="shared" si="10"/>
        <v>255</v>
      </c>
      <c r="AJ56">
        <f t="shared" si="11"/>
        <v>255</v>
      </c>
      <c r="AK56" s="3"/>
      <c r="AL56">
        <f>SQRT((2+(($AL$3+Table4[[#This Row],[Red]])/2)/256)*($AL$3-Table4[[#This Row],[Red]])^2 + 4*($AM$3-Table4[[#This Row],[Green]])^2 + (2+(255-(($AL$3+Table4[[#This Row],[Red]])/2))/256 )*($AN$3-Table4[[#This Row],[Blue]])^2)</f>
        <v>48.325758206674834</v>
      </c>
      <c r="AM56">
        <f>SQRT((2+(($AO$3+Table4[[#This Row],[Red2]])/2)/256)*($AO$3-Table4[[#This Row],[Red2]])^2 + 4*($AP$3-Table4[[#This Row],[Green2]])^2 + (2+(255-(($AO$3+Table4[[#This Row],[Red2]])/2))/256 )*($AQ$3-Table4[[#This Row],[Blue2]])^2)</f>
        <v>221.78012055862897</v>
      </c>
      <c r="AN56">
        <f>SQRT(Table4[[#This Row],[diffPrimary]]^2+Table4[[#This Row],[diffSecondary]]^2)</f>
        <v>226.98414213607523</v>
      </c>
      <c r="AO56" s="2">
        <f>SQRT((2+(($AL$3+Table4[[#This Row],[Red2]])/2)/256)*($AL$3-Table4[[#This Row],[Red2]])^2 + 4*($AM$3-Table4[[#This Row],[Green2]])^2 + (2+(255-(($AL$3+Table4[[#This Row],[Red2]])/2))/256 )*($AN$3-Table4[[#This Row],[Blue2]])^2)</f>
        <v>464.24008176333183</v>
      </c>
      <c r="AP56" s="2">
        <f>SQRT((2+(($AO$3+Table4[[#This Row],[Red]])/2)/256)*($AO$3-Table4[[#This Row],[Red]])^2 + 4*($AP$3-Table4[[#This Row],[Green]])^2 + (2+(255-(($AO$3+Table4[[#This Row],[Red]])/2))/256 )*($AQ$3-Table4[[#This Row],[Blue]])^2)</f>
        <v>545.3903669334012</v>
      </c>
      <c r="AQ56" s="2">
        <f>SQRT(Table4[[#This Row],[diffPrimary2]]^2+Table4[[#This Row],[diffSecondary2]]^2)</f>
        <v>716.21889521247272</v>
      </c>
      <c r="AR56" s="786">
        <f>MIN(Table4[[#This Row],[MinOrig]],Table4[[#This Row],[MinSwap]])</f>
        <v>226.98414213607523</v>
      </c>
      <c r="AS56" s="2">
        <v>66.3272250380641</v>
      </c>
      <c r="AX56" s="4"/>
    </row>
    <row r="57" spans="1:50" x14ac:dyDescent="0.25">
      <c r="A57" t="s">
        <v>122</v>
      </c>
      <c r="B57">
        <v>111</v>
      </c>
      <c r="C57">
        <v>44</v>
      </c>
      <c r="D57">
        <v>63</v>
      </c>
      <c r="E57" s="297"/>
      <c r="F57">
        <v>242</v>
      </c>
      <c r="G57">
        <v>169</v>
      </c>
      <c r="H57">
        <v>0</v>
      </c>
      <c r="I57" s="298"/>
      <c r="M57" s="4"/>
      <c r="Q57" s="4"/>
      <c r="U57" s="4"/>
      <c r="Y57" s="4"/>
      <c r="Z57">
        <f t="shared" si="0"/>
        <v>127.5</v>
      </c>
      <c r="AA57">
        <f t="shared" si="1"/>
        <v>0</v>
      </c>
      <c r="AB57">
        <f t="shared" si="2"/>
        <v>0</v>
      </c>
      <c r="AC57" s="27"/>
      <c r="AD57">
        <f t="shared" si="3"/>
        <v>255</v>
      </c>
      <c r="AE57">
        <f t="shared" si="4"/>
        <v>127.5</v>
      </c>
      <c r="AF57">
        <f t="shared" si="5"/>
        <v>0</v>
      </c>
      <c r="AG57" s="28"/>
      <c r="AH57">
        <f t="shared" si="9"/>
        <v>0</v>
      </c>
      <c r="AI57">
        <f t="shared" si="10"/>
        <v>0</v>
      </c>
      <c r="AJ57">
        <f t="shared" si="11"/>
        <v>0</v>
      </c>
      <c r="AK57" s="4"/>
      <c r="AL57">
        <f>SQRT((2+(($AL$3+Table4[[#This Row],[Red]])/2)/256)*($AL$3-Table4[[#This Row],[Red]])^2 + 4*($AM$3-Table4[[#This Row],[Green]])^2 + (2+(255-(($AL$3+Table4[[#This Row],[Red]])/2))/256 )*($AN$3-Table4[[#This Row],[Blue]])^2)</f>
        <v>411.13657250359034</v>
      </c>
      <c r="AM57">
        <f>SQRT((2+(($AO$3+Table4[[#This Row],[Red2]])/2)/256)*($AO$3-Table4[[#This Row],[Red2]])^2 + 4*($AP$3-Table4[[#This Row],[Green2]])^2 + (2+(255-(($AO$3+Table4[[#This Row],[Red2]])/2))/256 )*($AQ$3-Table4[[#This Row],[Blue2]])^2)</f>
        <v>508.97214130539601</v>
      </c>
      <c r="AN57">
        <f>SQRT(Table4[[#This Row],[diffPrimary]]^2+Table4[[#This Row],[diffSecondary]]^2)</f>
        <v>654.28275376552608</v>
      </c>
      <c r="AO57" s="2">
        <f>SQRT((2+(($AL$3+Table4[[#This Row],[Red2]])/2)/256)*($AL$3-Table4[[#This Row],[Red2]])^2 + 4*($AM$3-Table4[[#This Row],[Green2]])^2 + (2+(255-(($AL$3+Table4[[#This Row],[Red2]])/2))/256 )*($AN$3-Table4[[#This Row],[Blue2]])^2)</f>
        <v>75.405893855354563</v>
      </c>
      <c r="AP57" s="2">
        <f>SQRT((2+(($AO$3+Table4[[#This Row],[Red]])/2)/256)*($AO$3-Table4[[#This Row],[Red]])^2 + 4*($AP$3-Table4[[#This Row],[Green]])^2 + (2+(255-(($AO$3+Table4[[#This Row],[Red]])/2))/256 )*($AQ$3-Table4[[#This Row],[Blue]])^2)</f>
        <v>214.68158652700049</v>
      </c>
      <c r="AQ57" s="2">
        <f>SQRT(Table4[[#This Row],[diffPrimary2]]^2+Table4[[#This Row],[diffSecondary2]]^2)</f>
        <v>227.53951837400686</v>
      </c>
      <c r="AR57" s="786">
        <f>MIN(Table4[[#This Row],[MinOrig]],Table4[[#This Row],[MinSwap]])</f>
        <v>227.53951837400686</v>
      </c>
      <c r="AS57" s="2">
        <v>82.581884079530397</v>
      </c>
      <c r="AX57" s="4"/>
    </row>
    <row r="58" spans="1:50" x14ac:dyDescent="0.25">
      <c r="A58" t="s">
        <v>330</v>
      </c>
      <c r="B58">
        <v>80</v>
      </c>
      <c r="C58">
        <v>7</v>
      </c>
      <c r="D58">
        <v>120</v>
      </c>
      <c r="E58" s="569"/>
      <c r="F58">
        <v>255</v>
      </c>
      <c r="G58">
        <v>205</v>
      </c>
      <c r="H58">
        <v>0</v>
      </c>
      <c r="I58" s="299"/>
      <c r="M58" s="4"/>
      <c r="Q58" s="4"/>
      <c r="U58" s="4"/>
      <c r="Y58" s="4"/>
      <c r="Z58">
        <f t="shared" si="0"/>
        <v>127.5</v>
      </c>
      <c r="AA58">
        <f t="shared" si="1"/>
        <v>0</v>
      </c>
      <c r="AB58">
        <f t="shared" si="2"/>
        <v>127.5</v>
      </c>
      <c r="AC58" s="30"/>
      <c r="AD58">
        <f t="shared" si="3"/>
        <v>255</v>
      </c>
      <c r="AE58">
        <f t="shared" si="4"/>
        <v>255</v>
      </c>
      <c r="AF58">
        <f t="shared" si="5"/>
        <v>0</v>
      </c>
      <c r="AG58" s="9"/>
      <c r="AH58">
        <f t="shared" si="9"/>
        <v>0</v>
      </c>
      <c r="AI58">
        <f t="shared" si="10"/>
        <v>0</v>
      </c>
      <c r="AJ58">
        <f t="shared" si="11"/>
        <v>0</v>
      </c>
      <c r="AK58" s="4"/>
      <c r="AL58">
        <f>SQRT((2+(($AL$3+Table4[[#This Row],[Red]])/2)/256)*($AL$3-Table4[[#This Row],[Red]])^2 + 4*($AM$3-Table4[[#This Row],[Green]])^2 + (2+(255-(($AL$3+Table4[[#This Row],[Red]])/2))/256 )*($AN$3-Table4[[#This Row],[Blue]])^2)</f>
        <v>521.36907924892807</v>
      </c>
      <c r="AM58">
        <f>SQRT((2+(($AO$3+Table4[[#This Row],[Red2]])/2)/256)*($AO$3-Table4[[#This Row],[Red2]])^2 + 4*($AP$3-Table4[[#This Row],[Green2]])^2 + (2+(255-(($AO$3+Table4[[#This Row],[Red2]])/2))/256 )*($AQ$3-Table4[[#This Row],[Blue2]])^2)</f>
        <v>574.92216694686158</v>
      </c>
      <c r="AN58">
        <f>SQRT(Table4[[#This Row],[diffPrimary]]^2+Table4[[#This Row],[diffSecondary]]^2)</f>
        <v>776.1193302861036</v>
      </c>
      <c r="AO58" s="2">
        <f>SQRT((2+(($AL$3+Table4[[#This Row],[Red2]])/2)/256)*($AL$3-Table4[[#This Row],[Red2]])^2 + 4*($AM$3-Table4[[#This Row],[Green2]])^2 + (2+(255-(($AL$3+Table4[[#This Row],[Red2]])/2))/256 )*($AN$3-Table4[[#This Row],[Blue2]])^2)</f>
        <v>0</v>
      </c>
      <c r="AP58" s="2">
        <f>SQRT((2+(($AO$3+Table4[[#This Row],[Red]])/2)/256)*($AO$3-Table4[[#This Row],[Red]])^2 + 4*($AP$3-Table4[[#This Row],[Green]])^2 + (2+(255-(($AO$3+Table4[[#This Row],[Red]])/2))/256 )*($AQ$3-Table4[[#This Row],[Blue]])^2)</f>
        <v>234.28561628917811</v>
      </c>
      <c r="AQ58" s="2">
        <f>SQRT(Table4[[#This Row],[diffPrimary2]]^2+Table4[[#This Row],[diffSecondary2]]^2)</f>
        <v>234.28561628917811</v>
      </c>
      <c r="AR58" s="786">
        <f>MIN(Table4[[#This Row],[MinOrig]],Table4[[#This Row],[MinSwap]])</f>
        <v>234.28561628917811</v>
      </c>
      <c r="AS58" s="2">
        <v>26.071641082793398</v>
      </c>
      <c r="AX58" s="4"/>
    </row>
    <row r="59" spans="1:50" x14ac:dyDescent="0.25">
      <c r="A59" t="s">
        <v>48</v>
      </c>
      <c r="B59">
        <v>0</v>
      </c>
      <c r="C59">
        <v>56</v>
      </c>
      <c r="D59">
        <v>107</v>
      </c>
      <c r="E59" s="164"/>
      <c r="F59">
        <v>224</v>
      </c>
      <c r="G59">
        <v>170</v>
      </c>
      <c r="H59">
        <v>15</v>
      </c>
      <c r="I59" s="165"/>
      <c r="J59">
        <v>173</v>
      </c>
      <c r="K59">
        <v>175</v>
      </c>
      <c r="L59">
        <v>170</v>
      </c>
      <c r="M59" s="93"/>
      <c r="Q59" s="4"/>
      <c r="U59" s="4"/>
      <c r="Y59" s="4"/>
      <c r="Z59">
        <f t="shared" si="0"/>
        <v>0</v>
      </c>
      <c r="AA59">
        <f t="shared" si="1"/>
        <v>0</v>
      </c>
      <c r="AB59">
        <f t="shared" si="2"/>
        <v>127.5</v>
      </c>
      <c r="AC59" s="26"/>
      <c r="AD59">
        <f t="shared" si="3"/>
        <v>255</v>
      </c>
      <c r="AE59">
        <f t="shared" si="4"/>
        <v>127.5</v>
      </c>
      <c r="AF59">
        <f t="shared" si="5"/>
        <v>0</v>
      </c>
      <c r="AG59" s="28"/>
      <c r="AH59">
        <f t="shared" si="9"/>
        <v>127.5</v>
      </c>
      <c r="AI59">
        <f t="shared" si="10"/>
        <v>127.5</v>
      </c>
      <c r="AJ59">
        <f t="shared" si="11"/>
        <v>127.5</v>
      </c>
      <c r="AK59" s="32"/>
      <c r="AL59">
        <f>SQRT((2+(($AL$3+Table4[[#This Row],[Red]])/2)/256)*($AL$3-Table4[[#This Row],[Red]])^2 + 4*($AM$3-Table4[[#This Row],[Green]])^2 + (2+(255-(($AL$3+Table4[[#This Row],[Red]])/2))/256 )*($AN$3-Table4[[#This Row],[Blue]])^2)</f>
        <v>528.99871145282577</v>
      </c>
      <c r="AM59">
        <f>SQRT((2+(($AO$3+Table4[[#This Row],[Red2]])/2)/256)*($AO$3-Table4[[#This Row],[Red2]])^2 + 4*($AP$3-Table4[[#This Row],[Green2]])^2 + (2+(255-(($AO$3+Table4[[#This Row],[Red2]])/2))/256 )*($AQ$3-Table4[[#This Row],[Blue2]])^2)</f>
        <v>488.34381699142051</v>
      </c>
      <c r="AN59">
        <f>SQRT(Table4[[#This Row],[diffPrimary]]^2+Table4[[#This Row],[diffSecondary]]^2)</f>
        <v>719.94397025914452</v>
      </c>
      <c r="AO59" s="2">
        <f>SQRT((2+(($AL$3+Table4[[#This Row],[Red2]])/2)/256)*($AL$3-Table4[[#This Row],[Red2]])^2 + 4*($AM$3-Table4[[#This Row],[Green2]])^2 + (2+(255-(($AL$3+Table4[[#This Row],[Red2]])/2))/256 )*($AN$3-Table4[[#This Row],[Blue2]])^2)</f>
        <v>90.469241147198758</v>
      </c>
      <c r="AP59" s="2">
        <f>SQRT((2+(($AO$3+Table4[[#This Row],[Red]])/2)/256)*($AO$3-Table4[[#This Row],[Red]])^2 + 4*($AP$3-Table4[[#This Row],[Green]])^2 + (2+(255-(($AO$3+Table4[[#This Row],[Red]])/2))/256 )*($AQ$3-Table4[[#This Row],[Blue]])^2)</f>
        <v>216.44000864847052</v>
      </c>
      <c r="AQ59" s="2">
        <f>SQRT(Table4[[#This Row],[diffPrimary2]]^2+Table4[[#This Row],[diffSecondary2]]^2)</f>
        <v>234.58678764478614</v>
      </c>
      <c r="AR59" s="786">
        <f>MIN(Table4[[#This Row],[MinOrig]],Table4[[#This Row],[MinSwap]])</f>
        <v>234.58678764478614</v>
      </c>
      <c r="AS59" s="2">
        <v>38.660683355315903</v>
      </c>
      <c r="AX59" s="4"/>
    </row>
    <row r="60" spans="1:50" x14ac:dyDescent="0.25">
      <c r="A60" t="s">
        <v>89</v>
      </c>
      <c r="B60">
        <v>8</v>
      </c>
      <c r="C60">
        <v>30</v>
      </c>
      <c r="D60">
        <v>63</v>
      </c>
      <c r="E60" s="244"/>
      <c r="F60">
        <v>182</v>
      </c>
      <c r="G60">
        <v>134</v>
      </c>
      <c r="H60">
        <v>44</v>
      </c>
      <c r="I60" s="245"/>
      <c r="M60" s="4"/>
      <c r="Q60" s="4"/>
      <c r="U60" s="4"/>
      <c r="Y60" s="4"/>
      <c r="Z60">
        <f t="shared" si="0"/>
        <v>0</v>
      </c>
      <c r="AA60">
        <f t="shared" si="1"/>
        <v>0</v>
      </c>
      <c r="AB60">
        <f t="shared" si="2"/>
        <v>0</v>
      </c>
      <c r="AC60" s="4"/>
      <c r="AD60">
        <f t="shared" si="3"/>
        <v>127.5</v>
      </c>
      <c r="AE60">
        <f t="shared" si="4"/>
        <v>127.5</v>
      </c>
      <c r="AF60">
        <f t="shared" si="5"/>
        <v>0</v>
      </c>
      <c r="AG60" s="33"/>
      <c r="AH60">
        <f t="shared" si="9"/>
        <v>0</v>
      </c>
      <c r="AI60">
        <f t="shared" si="10"/>
        <v>0</v>
      </c>
      <c r="AJ60">
        <f t="shared" si="11"/>
        <v>0</v>
      </c>
      <c r="AK60" s="4"/>
      <c r="AL60">
        <f>SQRT((2+(($AL$3+Table4[[#This Row],[Red]])/2)/256)*($AL$3-Table4[[#This Row],[Red]])^2 + 4*($AM$3-Table4[[#This Row],[Green]])^2 + (2+(255-(($AL$3+Table4[[#This Row],[Red]])/2))/256 )*($AN$3-Table4[[#This Row],[Blue]])^2)</f>
        <v>534.51785736657109</v>
      </c>
      <c r="AM60">
        <f>SQRT((2+(($AO$3+Table4[[#This Row],[Red2]])/2)/256)*($AO$3-Table4[[#This Row],[Red2]])^2 + 4*($AP$3-Table4[[#This Row],[Green2]])^2 + (2+(255-(($AO$3+Table4[[#This Row],[Red2]])/2))/256 )*($AQ$3-Table4[[#This Row],[Blue2]])^2)</f>
        <v>393.64806220150507</v>
      </c>
      <c r="AN60">
        <f>SQRT(Table4[[#This Row],[diffPrimary]]^2+Table4[[#This Row],[diffSecondary]]^2)</f>
        <v>663.82839402872037</v>
      </c>
      <c r="AO60" s="2">
        <f>SQRT((2+(($AL$3+Table4[[#This Row],[Red2]])/2)/256)*($AL$3-Table4[[#This Row],[Red2]])^2 + 4*($AM$3-Table4[[#This Row],[Green2]])^2 + (2+(255-(($AL$3+Table4[[#This Row],[Red2]])/2))/256 )*($AN$3-Table4[[#This Row],[Blue2]])^2)</f>
        <v>198.79239426000433</v>
      </c>
      <c r="AP60" s="2">
        <f>SQRT((2+(($AO$3+Table4[[#This Row],[Red]])/2)/256)*($AO$3-Table4[[#This Row],[Red]])^2 + 4*($AP$3-Table4[[#This Row],[Green]])^2 + (2+(255-(($AO$3+Table4[[#This Row],[Red]])/2))/256 )*($AQ$3-Table4[[#This Row],[Blue]])^2)</f>
        <v>124.73363808031095</v>
      </c>
      <c r="AQ60" s="2">
        <f>SQRT(Table4[[#This Row],[diffPrimary2]]^2+Table4[[#This Row],[diffSecondary2]]^2)</f>
        <v>234.68467458352495</v>
      </c>
      <c r="AR60" s="786">
        <f>MIN(Table4[[#This Row],[MinOrig]],Table4[[#This Row],[MinSwap]])</f>
        <v>234.68467458352495</v>
      </c>
      <c r="AS60" s="2">
        <v>76.985971733491795</v>
      </c>
      <c r="AX60" s="4"/>
    </row>
    <row r="61" spans="1:50" x14ac:dyDescent="0.25">
      <c r="A61" t="s">
        <v>447</v>
      </c>
      <c r="B61">
        <v>70</v>
      </c>
      <c r="C61">
        <v>22</v>
      </c>
      <c r="D61">
        <v>107</v>
      </c>
      <c r="E61" s="75"/>
      <c r="F61">
        <v>219</v>
      </c>
      <c r="G61">
        <v>159</v>
      </c>
      <c r="H61">
        <v>17</v>
      </c>
      <c r="I61" s="399"/>
      <c r="J61">
        <v>95</v>
      </c>
      <c r="K61">
        <v>96</v>
      </c>
      <c r="L61">
        <v>98</v>
      </c>
      <c r="M61" s="400"/>
      <c r="Q61" s="4"/>
      <c r="U61" s="4"/>
      <c r="Y61" s="4"/>
      <c r="Z61">
        <f t="shared" si="0"/>
        <v>127.5</v>
      </c>
      <c r="AA61">
        <f t="shared" si="1"/>
        <v>0</v>
      </c>
      <c r="AB61">
        <f t="shared" si="2"/>
        <v>127.5</v>
      </c>
      <c r="AC61" s="30"/>
      <c r="AD61">
        <f t="shared" si="3"/>
        <v>255</v>
      </c>
      <c r="AE61">
        <f t="shared" si="4"/>
        <v>127.5</v>
      </c>
      <c r="AF61">
        <f t="shared" si="5"/>
        <v>0</v>
      </c>
      <c r="AG61" s="28"/>
      <c r="AH61">
        <f t="shared" si="9"/>
        <v>127.5</v>
      </c>
      <c r="AI61">
        <f t="shared" si="10"/>
        <v>127.5</v>
      </c>
      <c r="AJ61">
        <f t="shared" si="11"/>
        <v>127.5</v>
      </c>
      <c r="AK61" s="32"/>
      <c r="AL61">
        <f>SQRT((2+(($AL$3+Table4[[#This Row],[Red]])/2)/256)*($AL$3-Table4[[#This Row],[Red]])^2 + 4*($AM$3-Table4[[#This Row],[Green]])^2 + (2+(255-(($AL$3+Table4[[#This Row],[Red]])/2))/256 )*($AN$3-Table4[[#This Row],[Blue]])^2)</f>
        <v>501.16434352291066</v>
      </c>
      <c r="AM61">
        <f>SQRT((2+(($AO$3+Table4[[#This Row],[Red2]])/2)/256)*($AO$3-Table4[[#This Row],[Red2]])^2 + 4*($AP$3-Table4[[#This Row],[Green2]])^2 + (2+(255-(($AO$3+Table4[[#This Row],[Red2]])/2))/256 )*($AQ$3-Table4[[#This Row],[Blue2]])^2)</f>
        <v>467.22887776629346</v>
      </c>
      <c r="AN61">
        <f>SQRT(Table4[[#This Row],[diffPrimary]]^2+Table4[[#This Row],[diffSecondary]]^2)</f>
        <v>685.17773127671046</v>
      </c>
      <c r="AO61" s="2">
        <f>SQRT((2+(($AL$3+Table4[[#This Row],[Red2]])/2)/256)*($AL$3-Table4[[#This Row],[Red2]])^2 + 4*($AM$3-Table4[[#This Row],[Green2]])^2 + (2+(255-(($AL$3+Table4[[#This Row],[Red2]])/2))/256 )*($AN$3-Table4[[#This Row],[Blue2]])^2)</f>
        <v>113.37606807655662</v>
      </c>
      <c r="AP61" s="2">
        <f>SQRT((2+(($AO$3+Table4[[#This Row],[Red]])/2)/256)*($AO$3-Table4[[#This Row],[Red]])^2 + 4*($AP$3-Table4[[#This Row],[Green]])^2 + (2+(255-(($AO$3+Table4[[#This Row],[Red]])/2))/256 )*($AQ$3-Table4[[#This Row],[Blue]])^2)</f>
        <v>212.46860062136241</v>
      </c>
      <c r="AQ61" s="2">
        <f>SQRT(Table4[[#This Row],[diffPrimary2]]^2+Table4[[#This Row],[diffSecondary2]]^2)</f>
        <v>240.82574418550024</v>
      </c>
      <c r="AR61" s="786">
        <f>MIN(Table4[[#This Row],[MinOrig]],Table4[[#This Row],[MinSwap]])</f>
        <v>240.82574418550024</v>
      </c>
      <c r="AS61" s="2">
        <v>49.882067951569503</v>
      </c>
      <c r="AX61" s="4"/>
    </row>
    <row r="62" spans="1:50" x14ac:dyDescent="0.25">
      <c r="A62" t="s">
        <v>263</v>
      </c>
      <c r="B62">
        <v>0</v>
      </c>
      <c r="C62">
        <v>99</v>
      </c>
      <c r="D62">
        <v>65</v>
      </c>
      <c r="E62" s="491"/>
      <c r="F62">
        <v>234</v>
      </c>
      <c r="G62">
        <v>170</v>
      </c>
      <c r="H62">
        <v>0</v>
      </c>
      <c r="I62" s="492"/>
      <c r="J62">
        <v>0</v>
      </c>
      <c r="K62">
        <v>0</v>
      </c>
      <c r="L62">
        <v>0</v>
      </c>
      <c r="M62" s="4"/>
      <c r="Q62" s="4"/>
      <c r="U62" s="4"/>
      <c r="Y62" s="4"/>
      <c r="Z62">
        <f t="shared" si="0"/>
        <v>0</v>
      </c>
      <c r="AA62">
        <f t="shared" si="1"/>
        <v>127.5</v>
      </c>
      <c r="AB62">
        <f t="shared" si="2"/>
        <v>127.5</v>
      </c>
      <c r="AC62" s="24"/>
      <c r="AD62">
        <f t="shared" si="3"/>
        <v>255</v>
      </c>
      <c r="AE62">
        <f t="shared" si="4"/>
        <v>127.5</v>
      </c>
      <c r="AF62">
        <f t="shared" si="5"/>
        <v>0</v>
      </c>
      <c r="AG62" s="28"/>
      <c r="AH62">
        <f t="shared" si="9"/>
        <v>0</v>
      </c>
      <c r="AI62">
        <f t="shared" si="10"/>
        <v>0</v>
      </c>
      <c r="AJ62">
        <f t="shared" si="11"/>
        <v>0</v>
      </c>
      <c r="AK62" s="4"/>
      <c r="AL62">
        <f>SQRT((2+(($AL$3+Table4[[#This Row],[Red]])/2)/256)*($AL$3-Table4[[#This Row],[Red]])^2 + 4*($AM$3-Table4[[#This Row],[Green]])^2 + (2+(255-(($AL$3+Table4[[#This Row],[Red]])/2))/256 )*($AN$3-Table4[[#This Row],[Blue]])^2)</f>
        <v>466.83374566728787</v>
      </c>
      <c r="AM62">
        <f>SQRT((2+(($AO$3+Table4[[#This Row],[Red2]])/2)/256)*($AO$3-Table4[[#This Row],[Red2]])^2 + 4*($AP$3-Table4[[#This Row],[Green2]])^2 + (2+(255-(($AO$3+Table4[[#This Row],[Red2]])/2))/256 )*($AQ$3-Table4[[#This Row],[Blue2]])^2)</f>
        <v>500.13718430546635</v>
      </c>
      <c r="AN62">
        <f>SQRT(Table4[[#This Row],[diffPrimary]]^2+Table4[[#This Row],[diffSecondary]]^2)</f>
        <v>684.1571085786876</v>
      </c>
      <c r="AO62" s="2">
        <f>SQRT((2+(($AL$3+Table4[[#This Row],[Red2]])/2)/256)*($AL$3-Table4[[#This Row],[Red2]])^2 + 4*($AM$3-Table4[[#This Row],[Green2]])^2 + (2+(255-(($AL$3+Table4[[#This Row],[Red2]])/2))/256 )*($AN$3-Table4[[#This Row],[Blue2]])^2)</f>
        <v>78.760329183701359</v>
      </c>
      <c r="AP62" s="2">
        <f>SQRT((2+(($AO$3+Table4[[#This Row],[Red]])/2)/256)*($AO$3-Table4[[#This Row],[Red]])^2 + 4*($AP$3-Table4[[#This Row],[Green]])^2 + (2+(255-(($AO$3+Table4[[#This Row],[Red]])/2))/256 )*($AQ$3-Table4[[#This Row],[Blue]])^2)</f>
        <v>227.73338818396832</v>
      </c>
      <c r="AQ62" s="2">
        <f>SQRT(Table4[[#This Row],[diffPrimary2]]^2+Table4[[#This Row],[diffSecondary2]]^2)</f>
        <v>240.9682251809873</v>
      </c>
      <c r="AR62" s="786">
        <f>MIN(Table4[[#This Row],[MinOrig]],Table4[[#This Row],[MinSwap]])</f>
        <v>240.9682251809873</v>
      </c>
      <c r="AS62" s="2">
        <v>64.280786641499702</v>
      </c>
      <c r="AX62" s="4"/>
    </row>
    <row r="63" spans="1:50" x14ac:dyDescent="0.25">
      <c r="A63" t="s">
        <v>324</v>
      </c>
      <c r="B63">
        <v>158</v>
      </c>
      <c r="C63">
        <v>126</v>
      </c>
      <c r="D63">
        <v>56</v>
      </c>
      <c r="E63" s="560"/>
      <c r="F63">
        <v>0</v>
      </c>
      <c r="G63">
        <v>0</v>
      </c>
      <c r="H63">
        <v>0</v>
      </c>
      <c r="I63" s="4"/>
      <c r="M63" s="4"/>
      <c r="Q63" s="4"/>
      <c r="U63" s="4"/>
      <c r="Y63" s="4"/>
      <c r="Z63">
        <f t="shared" si="0"/>
        <v>127.5</v>
      </c>
      <c r="AA63">
        <f t="shared" si="1"/>
        <v>127.5</v>
      </c>
      <c r="AB63">
        <f t="shared" si="2"/>
        <v>0</v>
      </c>
      <c r="AC63" s="33"/>
      <c r="AD63">
        <f t="shared" si="3"/>
        <v>0</v>
      </c>
      <c r="AE63">
        <f t="shared" si="4"/>
        <v>0</v>
      </c>
      <c r="AF63">
        <f t="shared" si="5"/>
        <v>0</v>
      </c>
      <c r="AG63" s="4"/>
      <c r="AH63">
        <f t="shared" si="9"/>
        <v>0</v>
      </c>
      <c r="AI63">
        <f t="shared" si="10"/>
        <v>0</v>
      </c>
      <c r="AJ63">
        <f t="shared" si="11"/>
        <v>0</v>
      </c>
      <c r="AK63" s="4"/>
      <c r="AL63">
        <f>SQRT((2+(($AL$3+Table4[[#This Row],[Red]])/2)/256)*($AL$3-Table4[[#This Row],[Red]])^2 + 4*($AM$3-Table4[[#This Row],[Green]])^2 + (2+(255-(($AL$3+Table4[[#This Row],[Red]])/2))/256 )*($AN$3-Table4[[#This Row],[Blue]])^2)</f>
        <v>241.32510569898236</v>
      </c>
      <c r="AM63">
        <f>SQRT((2+(($AO$3+Table4[[#This Row],[Red2]])/2)/256)*($AO$3-Table4[[#This Row],[Red2]])^2 + 4*($AP$3-Table4[[#This Row],[Green2]])^2 + (2+(255-(($AO$3+Table4[[#This Row],[Red2]])/2))/256 )*($AQ$3-Table4[[#This Row],[Blue2]])^2)</f>
        <v>0</v>
      </c>
      <c r="AN63">
        <f>SQRT(Table4[[#This Row],[diffPrimary]]^2+Table4[[#This Row],[diffSecondary]]^2)</f>
        <v>241.32510569898236</v>
      </c>
      <c r="AO63" s="2">
        <f>SQRT((2+(($AL$3+Table4[[#This Row],[Red2]])/2)/256)*($AL$3-Table4[[#This Row],[Red2]])^2 + 4*($AM$3-Table4[[#This Row],[Green2]])^2 + (2+(255-(($AL$3+Table4[[#This Row],[Red2]])/2))/256 )*($AN$3-Table4[[#This Row],[Blue2]])^2)</f>
        <v>574.92216694686158</v>
      </c>
      <c r="AP63" s="2">
        <f>SQRT((2+(($AO$3+Table4[[#This Row],[Red]])/2)/256)*($AO$3-Table4[[#This Row],[Red]])^2 + 4*($AP$3-Table4[[#This Row],[Green]])^2 + (2+(255-(($AO$3+Table4[[#This Row],[Red]])/2))/256 )*($AQ$3-Table4[[#This Row],[Blue]])^2)</f>
        <v>359.94962755224515</v>
      </c>
      <c r="AQ63" s="2">
        <f>SQRT(Table4[[#This Row],[diffPrimary2]]^2+Table4[[#This Row],[diffSecondary2]]^2)</f>
        <v>678.30614947962476</v>
      </c>
      <c r="AR63" s="786">
        <f>MIN(Table4[[#This Row],[MinOrig]],Table4[[#This Row],[MinSwap]])</f>
        <v>241.32510569898236</v>
      </c>
      <c r="AS63" s="2">
        <v>56.909330298291202</v>
      </c>
      <c r="AX63" s="4"/>
    </row>
    <row r="64" spans="1:50" x14ac:dyDescent="0.25">
      <c r="A64" t="s">
        <v>195</v>
      </c>
      <c r="B64">
        <v>243</v>
      </c>
      <c r="C64">
        <v>178</v>
      </c>
      <c r="D64">
        <v>55</v>
      </c>
      <c r="E64" s="401"/>
      <c r="F64">
        <v>0</v>
      </c>
      <c r="G64">
        <v>61</v>
      </c>
      <c r="H64">
        <v>109</v>
      </c>
      <c r="I64" s="402"/>
      <c r="J64">
        <v>255</v>
      </c>
      <c r="K64">
        <v>255</v>
      </c>
      <c r="L64">
        <v>255</v>
      </c>
      <c r="M64" s="3"/>
      <c r="Q64" s="4"/>
      <c r="U64" s="4"/>
      <c r="Y64" s="4"/>
      <c r="Z64">
        <f t="shared" si="0"/>
        <v>255</v>
      </c>
      <c r="AA64">
        <f t="shared" si="1"/>
        <v>127.5</v>
      </c>
      <c r="AB64">
        <f t="shared" si="2"/>
        <v>0</v>
      </c>
      <c r="AC64" s="28"/>
      <c r="AD64">
        <f t="shared" si="3"/>
        <v>0</v>
      </c>
      <c r="AE64">
        <f t="shared" si="4"/>
        <v>0</v>
      </c>
      <c r="AF64">
        <f t="shared" si="5"/>
        <v>127.5</v>
      </c>
      <c r="AG64" s="26"/>
      <c r="AH64">
        <f t="shared" si="9"/>
        <v>255</v>
      </c>
      <c r="AI64">
        <f t="shared" si="10"/>
        <v>255</v>
      </c>
      <c r="AJ64">
        <f t="shared" si="11"/>
        <v>255</v>
      </c>
      <c r="AK64" s="3"/>
      <c r="AL64">
        <f>SQRT((2+(($AL$3+Table4[[#This Row],[Red]])/2)/256)*($AL$3-Table4[[#This Row],[Red]])^2 + 4*($AM$3-Table4[[#This Row],[Green]])^2 + (2+(255-(($AL$3+Table4[[#This Row],[Red]])/2))/256 )*($AN$3-Table4[[#This Row],[Blue]])^2)</f>
        <v>97.288030802869059</v>
      </c>
      <c r="AM64">
        <f>SQRT((2+(($AO$3+Table4[[#This Row],[Red2]])/2)/256)*($AO$3-Table4[[#This Row],[Red2]])^2 + 4*($AP$3-Table4[[#This Row],[Green2]])^2 + (2+(255-(($AO$3+Table4[[#This Row],[Red2]])/2))/256 )*($AQ$3-Table4[[#This Row],[Blue2]])^2)</f>
        <v>224.6788593609777</v>
      </c>
      <c r="AN64">
        <f>SQRT(Table4[[#This Row],[diffPrimary]]^2+Table4[[#This Row],[diffSecondary]]^2)</f>
        <v>244.83780504907733</v>
      </c>
      <c r="AO64" s="2">
        <f>SQRT((2+(($AL$3+Table4[[#This Row],[Red2]])/2)/256)*($AL$3-Table4[[#This Row],[Red2]])^2 + 4*($AM$3-Table4[[#This Row],[Green2]])^2 + (2+(255-(($AL$3+Table4[[#This Row],[Red2]])/2))/256 )*($AN$3-Table4[[#This Row],[Blue2]])^2)</f>
        <v>524.46047798547227</v>
      </c>
      <c r="AP64" s="2">
        <f>SQRT((2+(($AO$3+Table4[[#This Row],[Red]])/2)/256)*($AO$3-Table4[[#This Row],[Red]])^2 + 4*($AP$3-Table4[[#This Row],[Green]])^2 + (2+(255-(($AO$3+Table4[[#This Row],[Red]])/2))/256 )*($AQ$3-Table4[[#This Row],[Blue]])^2)</f>
        <v>529.60995007528891</v>
      </c>
      <c r="AQ64" s="2">
        <f>SQRT(Table4[[#This Row],[diffPrimary2]]^2+Table4[[#This Row],[diffSecondary2]]^2)</f>
        <v>745.3492417568425</v>
      </c>
      <c r="AR64" s="786">
        <f>MIN(Table4[[#This Row],[MinOrig]],Table4[[#This Row],[MinSwap]])</f>
        <v>244.83780504907733</v>
      </c>
      <c r="AS64" s="2">
        <v>53.306509774838901</v>
      </c>
      <c r="AX64" s="4"/>
    </row>
    <row r="65" spans="1:50" x14ac:dyDescent="0.25">
      <c r="A65" t="s">
        <v>134</v>
      </c>
      <c r="B65">
        <v>0</v>
      </c>
      <c r="C65">
        <v>57</v>
      </c>
      <c r="D65">
        <v>118</v>
      </c>
      <c r="E65" s="317"/>
      <c r="F65">
        <v>239</v>
      </c>
      <c r="G65">
        <v>171</v>
      </c>
      <c r="H65">
        <v>0</v>
      </c>
      <c r="I65" s="318"/>
      <c r="M65" s="4"/>
      <c r="Q65" s="4"/>
      <c r="U65" s="4"/>
      <c r="Y65" s="4"/>
      <c r="Z65">
        <f t="shared" si="0"/>
        <v>0</v>
      </c>
      <c r="AA65">
        <f t="shared" si="1"/>
        <v>0</v>
      </c>
      <c r="AB65">
        <f t="shared" si="2"/>
        <v>127.5</v>
      </c>
      <c r="AC65" s="26"/>
      <c r="AD65">
        <f t="shared" si="3"/>
        <v>255</v>
      </c>
      <c r="AE65">
        <f t="shared" si="4"/>
        <v>127.5</v>
      </c>
      <c r="AF65">
        <f t="shared" si="5"/>
        <v>0</v>
      </c>
      <c r="AG65" s="28"/>
      <c r="AH65">
        <f t="shared" si="9"/>
        <v>0</v>
      </c>
      <c r="AI65">
        <f t="shared" si="10"/>
        <v>0</v>
      </c>
      <c r="AJ65">
        <f t="shared" si="11"/>
        <v>0</v>
      </c>
      <c r="AK65" s="4"/>
      <c r="AL65">
        <f>SQRT((2+(($AL$3+Table4[[#This Row],[Red]])/2)/256)*($AL$3-Table4[[#This Row],[Red]])^2 + 4*($AM$3-Table4[[#This Row],[Green]])^2 + (2+(255-(($AL$3+Table4[[#This Row],[Red]])/2))/256 )*($AN$3-Table4[[#This Row],[Blue]])^2)</f>
        <v>533.69870033041582</v>
      </c>
      <c r="AM65">
        <f>SQRT((2+(($AO$3+Table4[[#This Row],[Red2]])/2)/256)*($AO$3-Table4[[#This Row],[Red2]])^2 + 4*($AP$3-Table4[[#This Row],[Green2]])^2 + (2+(255-(($AO$3+Table4[[#This Row],[Red2]])/2))/256 )*($AQ$3-Table4[[#This Row],[Blue2]])^2)</f>
        <v>507.80892498741593</v>
      </c>
      <c r="AN65">
        <f>SQRT(Table4[[#This Row],[diffPrimary]]^2+Table4[[#This Row],[diffSecondary]]^2)</f>
        <v>736.68460485559899</v>
      </c>
      <c r="AO65" s="2">
        <f>SQRT((2+(($AL$3+Table4[[#This Row],[Red2]])/2)/256)*($AL$3-Table4[[#This Row],[Red2]])^2 + 4*($AM$3-Table4[[#This Row],[Green2]])^2 + (2+(255-(($AL$3+Table4[[#This Row],[Red2]])/2))/256 )*($AN$3-Table4[[#This Row],[Blue2]])^2)</f>
        <v>73.368930754100546</v>
      </c>
      <c r="AP65" s="2">
        <f>SQRT((2+(($AO$3+Table4[[#This Row],[Red]])/2)/256)*($AO$3-Table4[[#This Row],[Red]])^2 + 4*($AP$3-Table4[[#This Row],[Green]])^2 + (2+(255-(($AO$3+Table4[[#This Row],[Red]])/2))/256 )*($AQ$3-Table4[[#This Row],[Blue]])^2)</f>
        <v>233.90940420384982</v>
      </c>
      <c r="AQ65" s="2">
        <f>SQRT(Table4[[#This Row],[diffPrimary2]]^2+Table4[[#This Row],[diffSecondary2]]^2)</f>
        <v>245.14609802115962</v>
      </c>
      <c r="AR65" s="786">
        <f>MIN(Table4[[#This Row],[MinOrig]],Table4[[#This Row],[MinSwap]])</f>
        <v>245.14609802115962</v>
      </c>
      <c r="AS65" s="2">
        <v>38.660683355315903</v>
      </c>
      <c r="AX65" s="4"/>
    </row>
    <row r="66" spans="1:50" x14ac:dyDescent="0.25">
      <c r="A66" t="s">
        <v>152</v>
      </c>
      <c r="B66">
        <v>70</v>
      </c>
      <c r="C66">
        <v>29</v>
      </c>
      <c r="D66">
        <v>124</v>
      </c>
      <c r="E66" s="349"/>
      <c r="F66">
        <v>253</v>
      </c>
      <c r="G66">
        <v>208</v>
      </c>
      <c r="H66">
        <v>35</v>
      </c>
      <c r="I66" s="350"/>
      <c r="M66" s="4"/>
      <c r="Q66" s="4"/>
      <c r="U66" s="4"/>
      <c r="Y66" s="4"/>
      <c r="Z66">
        <f t="shared" si="0"/>
        <v>127.5</v>
      </c>
      <c r="AA66">
        <f t="shared" si="1"/>
        <v>0</v>
      </c>
      <c r="AB66">
        <f t="shared" si="2"/>
        <v>127.5</v>
      </c>
      <c r="AC66" s="30"/>
      <c r="AD66">
        <f t="shared" si="3"/>
        <v>255</v>
      </c>
      <c r="AE66">
        <f t="shared" si="4"/>
        <v>255</v>
      </c>
      <c r="AF66">
        <f t="shared" si="5"/>
        <v>0</v>
      </c>
      <c r="AG66" s="9"/>
      <c r="AH66">
        <f t="shared" si="9"/>
        <v>0</v>
      </c>
      <c r="AI66">
        <f t="shared" si="10"/>
        <v>0</v>
      </c>
      <c r="AJ66">
        <f t="shared" si="11"/>
        <v>0</v>
      </c>
      <c r="AK66" s="4"/>
      <c r="AL66">
        <f>SQRT((2+(($AL$3+Table4[[#This Row],[Red]])/2)/256)*($AL$3-Table4[[#This Row],[Red]])^2 + 4*($AM$3-Table4[[#This Row],[Green]])^2 + (2+(255-(($AL$3+Table4[[#This Row],[Red]])/2))/256 )*($AN$3-Table4[[#This Row],[Blue]])^2)</f>
        <v>500.3864853946647</v>
      </c>
      <c r="AM66">
        <f>SQRT((2+(($AO$3+Table4[[#This Row],[Red2]])/2)/256)*($AO$3-Table4[[#This Row],[Red2]])^2 + 4*($AP$3-Table4[[#This Row],[Green2]])^2 + (2+(255-(($AO$3+Table4[[#This Row],[Red2]])/2))/256 )*($AQ$3-Table4[[#This Row],[Blue2]])^2)</f>
        <v>579.4552095233505</v>
      </c>
      <c r="AN66">
        <f>SQRT(Table4[[#This Row],[diffPrimary]]^2+Table4[[#This Row],[diffSecondary]]^2)</f>
        <v>765.60758526112772</v>
      </c>
      <c r="AO66" s="2">
        <f>SQRT((2+(($AL$3+Table4[[#This Row],[Red2]])/2)/256)*($AL$3-Table4[[#This Row],[Red2]])^2 + 4*($AM$3-Table4[[#This Row],[Green2]])^2 + (2+(255-(($AL$3+Table4[[#This Row],[Red2]])/2))/256 )*($AN$3-Table4[[#This Row],[Blue2]])^2)</f>
        <v>50.027531482674618</v>
      </c>
      <c r="AP66" s="2">
        <f>SQRT((2+(($AO$3+Table4[[#This Row],[Red]])/2)/256)*($AO$3-Table4[[#This Row],[Red]])^2 + 4*($AP$3-Table4[[#This Row],[Green]])^2 + (2+(255-(($AO$3+Table4[[#This Row],[Red]])/2))/256 )*($AQ$3-Table4[[#This Row],[Blue]])^2)</f>
        <v>240.41562319242067</v>
      </c>
      <c r="AQ66" s="2">
        <f>SQRT(Table4[[#This Row],[diffPrimary2]]^2+Table4[[#This Row],[diffSecondary2]]^2)</f>
        <v>245.56552237895693</v>
      </c>
      <c r="AR66" s="786">
        <f>MIN(Table4[[#This Row],[MinOrig]],Table4[[#This Row],[MinSwap]])</f>
        <v>245.56552237895693</v>
      </c>
      <c r="AS66" s="2">
        <v>42.2855342434029</v>
      </c>
      <c r="AX66" s="4"/>
    </row>
    <row r="67" spans="1:50" x14ac:dyDescent="0.25">
      <c r="A67" t="s">
        <v>95</v>
      </c>
      <c r="B67">
        <v>30</v>
      </c>
      <c r="C67">
        <v>98</v>
      </c>
      <c r="D67">
        <v>56</v>
      </c>
      <c r="E67" s="255"/>
      <c r="F67">
        <v>226</v>
      </c>
      <c r="G67">
        <v>168</v>
      </c>
      <c r="H67">
        <v>43</v>
      </c>
      <c r="I67" s="256"/>
      <c r="J67">
        <v>255</v>
      </c>
      <c r="K67">
        <v>255</v>
      </c>
      <c r="L67">
        <v>255</v>
      </c>
      <c r="M67" s="3"/>
      <c r="N67">
        <v>0</v>
      </c>
      <c r="O67">
        <v>0</v>
      </c>
      <c r="P67">
        <v>0</v>
      </c>
      <c r="Q67" s="4"/>
      <c r="U67" s="4"/>
      <c r="Y67" s="4"/>
      <c r="Z67">
        <f t="shared" si="0"/>
        <v>0</v>
      </c>
      <c r="AA67">
        <f t="shared" si="1"/>
        <v>127.5</v>
      </c>
      <c r="AB67">
        <f t="shared" si="2"/>
        <v>0</v>
      </c>
      <c r="AC67" s="34"/>
      <c r="AD67">
        <f t="shared" si="3"/>
        <v>255</v>
      </c>
      <c r="AE67">
        <f t="shared" si="4"/>
        <v>127.5</v>
      </c>
      <c r="AF67">
        <f t="shared" si="5"/>
        <v>0</v>
      </c>
      <c r="AG67" s="28"/>
      <c r="AH67">
        <f t="shared" si="9"/>
        <v>255</v>
      </c>
      <c r="AI67">
        <f t="shared" si="10"/>
        <v>255</v>
      </c>
      <c r="AJ67">
        <f t="shared" si="11"/>
        <v>255</v>
      </c>
      <c r="AK67" s="3"/>
      <c r="AL67">
        <f>SQRT((2+(($AL$3+Table4[[#This Row],[Red]])/2)/256)*($AL$3-Table4[[#This Row],[Red]])^2 + 4*($AM$3-Table4[[#This Row],[Green]])^2 + (2+(255-(($AL$3+Table4[[#This Row],[Red]])/2))/256 )*($AN$3-Table4[[#This Row],[Blue]])^2)</f>
        <v>427.64010176856078</v>
      </c>
      <c r="AM67">
        <f>SQRT((2+(($AO$3+Table4[[#This Row],[Red2]])/2)/256)*($AO$3-Table4[[#This Row],[Red2]])^2 + 4*($AP$3-Table4[[#This Row],[Green2]])^2 + (2+(255-(($AO$3+Table4[[#This Row],[Red2]])/2))/256 )*($AQ$3-Table4[[#This Row],[Blue2]])^2)</f>
        <v>492.25692764297384</v>
      </c>
      <c r="AN67">
        <f>SQRT(Table4[[#This Row],[diffPrimary]]^2+Table4[[#This Row],[diffSecondary]]^2)</f>
        <v>652.06820153502736</v>
      </c>
      <c r="AO67" s="2">
        <f>SQRT((2+(($AL$3+Table4[[#This Row],[Red2]])/2)/256)*($AL$3-Table4[[#This Row],[Red2]])^2 + 4*($AM$3-Table4[[#This Row],[Green2]])^2 + (2+(255-(($AL$3+Table4[[#This Row],[Red2]])/2))/256 )*($AN$3-Table4[[#This Row],[Blue2]])^2)</f>
        <v>108.40114664407383</v>
      </c>
      <c r="AP67" s="2">
        <f>SQRT((2+(($AO$3+Table4[[#This Row],[Red]])/2)/256)*($AO$3-Table4[[#This Row],[Red]])^2 + 4*($AP$3-Table4[[#This Row],[Green]])^2 + (2+(255-(($AO$3+Table4[[#This Row],[Red]])/2))/256 )*($AQ$3-Table4[[#This Row],[Blue]])^2)</f>
        <v>222.44265412685581</v>
      </c>
      <c r="AQ67" s="2">
        <f>SQRT(Table4[[#This Row],[diffPrimary2]]^2+Table4[[#This Row],[diffSecondary2]]^2)</f>
        <v>247.45008177155651</v>
      </c>
      <c r="AR67" s="786">
        <f>MIN(Table4[[#This Row],[MinOrig]],Table4[[#This Row],[MinSwap]])</f>
        <v>247.45008177155651</v>
      </c>
      <c r="AS67" s="2">
        <v>47.024241587451499</v>
      </c>
      <c r="AX67" s="4"/>
    </row>
    <row r="68" spans="1:50" x14ac:dyDescent="0.25">
      <c r="A68" t="s">
        <v>11</v>
      </c>
      <c r="B68">
        <v>140</v>
      </c>
      <c r="C68">
        <v>29</v>
      </c>
      <c r="D68">
        <v>64</v>
      </c>
      <c r="E68" s="83"/>
      <c r="F68">
        <v>255</v>
      </c>
      <c r="G68">
        <v>198</v>
      </c>
      <c r="H68">
        <v>39</v>
      </c>
      <c r="I68" s="84"/>
      <c r="M68" s="4"/>
      <c r="Q68" s="4"/>
      <c r="U68" s="4"/>
      <c r="Y68" s="4"/>
      <c r="Z68">
        <f t="shared" si="0"/>
        <v>127.5</v>
      </c>
      <c r="AA68">
        <f t="shared" si="1"/>
        <v>0</v>
      </c>
      <c r="AB68">
        <f t="shared" si="2"/>
        <v>127.5</v>
      </c>
      <c r="AC68" s="30"/>
      <c r="AD68">
        <f t="shared" si="3"/>
        <v>255</v>
      </c>
      <c r="AE68">
        <f t="shared" si="4"/>
        <v>255</v>
      </c>
      <c r="AF68">
        <f t="shared" si="5"/>
        <v>0</v>
      </c>
      <c r="AG68" s="9"/>
      <c r="AH68">
        <f t="shared" si="9"/>
        <v>0</v>
      </c>
      <c r="AI68">
        <f t="shared" si="10"/>
        <v>0</v>
      </c>
      <c r="AJ68">
        <f t="shared" si="11"/>
        <v>0</v>
      </c>
      <c r="AK68" s="4"/>
      <c r="AL68">
        <f>SQRT((2+(($AL$3+Table4[[#This Row],[Red]])/2)/256)*($AL$3-Table4[[#This Row],[Red]])^2 + 4*($AM$3-Table4[[#This Row],[Green]])^2 + (2+(255-(($AL$3+Table4[[#This Row],[Red]])/2))/256 )*($AN$3-Table4[[#This Row],[Blue]])^2)</f>
        <v>411.90882590614029</v>
      </c>
      <c r="AM68">
        <f>SQRT((2+(($AO$3+Table4[[#This Row],[Red2]])/2)/256)*($AO$3-Table4[[#This Row],[Red2]])^2 + 4*($AP$3-Table4[[#This Row],[Green2]])^2 + (2+(255-(($AO$3+Table4[[#This Row],[Red2]])/2))/256 )*($AQ$3-Table4[[#This Row],[Blue2]])^2)</f>
        <v>568.37578004674867</v>
      </c>
      <c r="AN68">
        <f>SQRT(Table4[[#This Row],[diffPrimary]]^2+Table4[[#This Row],[diffSecondary]]^2)</f>
        <v>701.94010300247487</v>
      </c>
      <c r="AO68" s="2">
        <f>SQRT((2+(($AL$3+Table4[[#This Row],[Red2]])/2)/256)*($AL$3-Table4[[#This Row],[Red2]])^2 + 4*($AM$3-Table4[[#This Row],[Green2]])^2 + (2+(255-(($AL$3+Table4[[#This Row],[Red2]])/2))/256 )*($AN$3-Table4[[#This Row],[Blue2]])^2)</f>
        <v>56.903426961827179</v>
      </c>
      <c r="AP68" s="2">
        <f>SQRT((2+(($AO$3+Table4[[#This Row],[Red]])/2)/256)*($AO$3-Table4[[#This Row],[Red]])^2 + 4*($AP$3-Table4[[#This Row],[Green]])^2 + (2+(255-(($AO$3+Table4[[#This Row],[Red]])/2))/256 )*($AQ$3-Table4[[#This Row],[Blue]])^2)</f>
        <v>243.05426348862923</v>
      </c>
      <c r="AQ68" s="2">
        <f>SQRT(Table4[[#This Row],[diffPrimary2]]^2+Table4[[#This Row],[diffSecondary2]]^2)</f>
        <v>249.62647095210076</v>
      </c>
      <c r="AR68" s="786">
        <f>MIN(Table4[[#This Row],[MinOrig]],Table4[[#This Row],[MinSwap]])</f>
        <v>249.62647095210076</v>
      </c>
      <c r="AS68" s="2">
        <v>32.9997040706428</v>
      </c>
      <c r="AX68" s="4"/>
    </row>
    <row r="69" spans="1:50" x14ac:dyDescent="0.25">
      <c r="A69" t="s">
        <v>220</v>
      </c>
      <c r="B69">
        <v>227</v>
      </c>
      <c r="C69">
        <v>82</v>
      </c>
      <c r="D69">
        <v>5</v>
      </c>
      <c r="E69" s="440"/>
      <c r="F69">
        <v>0</v>
      </c>
      <c r="G69">
        <v>0</v>
      </c>
      <c r="H69">
        <v>0</v>
      </c>
      <c r="I69" s="4"/>
      <c r="J69">
        <v>216</v>
      </c>
      <c r="K69">
        <v>96</v>
      </c>
      <c r="L69">
        <v>24</v>
      </c>
      <c r="M69" s="441"/>
      <c r="N69">
        <v>148</v>
      </c>
      <c r="O69">
        <v>154</v>
      </c>
      <c r="P69">
        <v>144</v>
      </c>
      <c r="Q69" s="442"/>
      <c r="U69" s="4"/>
      <c r="Y69" s="4"/>
      <c r="Z69">
        <f t="shared" ref="Z69:Z132" si="12">ROUND(B69/255*$AA$2,0)*$AC$2/$AA$2</f>
        <v>255</v>
      </c>
      <c r="AA69">
        <f t="shared" ref="AA69:AA132" si="13">ROUND(C69/255*$AA$2,0)*$AC$2/$AA$2</f>
        <v>127.5</v>
      </c>
      <c r="AB69">
        <f t="shared" ref="AB69:AB132" si="14">ROUND(D69/255*$AA$2,0)*$AC$2/$AA$2</f>
        <v>0</v>
      </c>
      <c r="AC69" s="28"/>
      <c r="AD69">
        <f t="shared" ref="AD69:AD132" si="15">ROUND(F69/255*$AA$2,0)*$AC$2/$AA$2</f>
        <v>0</v>
      </c>
      <c r="AE69">
        <f t="shared" ref="AE69:AE132" si="16">ROUND(G69/255*$AA$2,0)*$AC$2/$AA$2</f>
        <v>0</v>
      </c>
      <c r="AF69">
        <f t="shared" ref="AF69:AF132" si="17">ROUND(H69/255*$AA$2,0)*$AC$2/$AA$2</f>
        <v>0</v>
      </c>
      <c r="AG69" s="4"/>
      <c r="AH69">
        <f t="shared" si="9"/>
        <v>255</v>
      </c>
      <c r="AI69">
        <f t="shared" si="10"/>
        <v>127.5</v>
      </c>
      <c r="AJ69">
        <f t="shared" si="11"/>
        <v>0</v>
      </c>
      <c r="AK69" s="28"/>
      <c r="AL69">
        <f>SQRT((2+(($AL$3+Table4[[#This Row],[Red]])/2)/256)*($AL$3-Table4[[#This Row],[Red]])^2 + 4*($AM$3-Table4[[#This Row],[Green]])^2 + (2+(255-(($AL$3+Table4[[#This Row],[Red]])/2))/256 )*($AN$3-Table4[[#This Row],[Blue]])^2)</f>
        <v>250.74574709753304</v>
      </c>
      <c r="AM69">
        <f>SQRT((2+(($AO$3+Table4[[#This Row],[Red2]])/2)/256)*($AO$3-Table4[[#This Row],[Red2]])^2 + 4*($AP$3-Table4[[#This Row],[Green2]])^2 + (2+(255-(($AO$3+Table4[[#This Row],[Red2]])/2))/256 )*($AQ$3-Table4[[#This Row],[Blue2]])^2)</f>
        <v>0</v>
      </c>
      <c r="AN69">
        <f>SQRT(Table4[[#This Row],[diffPrimary]]^2+Table4[[#This Row],[diffSecondary]]^2)</f>
        <v>250.74574709753304</v>
      </c>
      <c r="AO69" s="2">
        <f>SQRT((2+(($AL$3+Table4[[#This Row],[Red2]])/2)/256)*($AL$3-Table4[[#This Row],[Red2]])^2 + 4*($AM$3-Table4[[#This Row],[Green2]])^2 + (2+(255-(($AL$3+Table4[[#This Row],[Red2]])/2))/256 )*($AN$3-Table4[[#This Row],[Blue2]])^2)</f>
        <v>574.92216694686158</v>
      </c>
      <c r="AP69" s="2">
        <f>SQRT((2+(($AO$3+Table4[[#This Row],[Red]])/2)/256)*($AO$3-Table4[[#This Row],[Red]])^2 + 4*($AP$3-Table4[[#This Row],[Green]])^2 + (2+(255-(($AO$3+Table4[[#This Row],[Red]])/2))/256 )*($AQ$3-Table4[[#This Row],[Blue]])^2)</f>
        <v>390.97785563091679</v>
      </c>
      <c r="AQ69" s="2">
        <f>SQRT(Table4[[#This Row],[diffPrimary2]]^2+Table4[[#This Row],[diffSecondary2]]^2)</f>
        <v>695.26914331115324</v>
      </c>
      <c r="AR69" s="786">
        <f>MIN(Table4[[#This Row],[MinOrig]],Table4[[#This Row],[MinSwap]])</f>
        <v>250.74574709753304</v>
      </c>
      <c r="AS69" s="2">
        <v>30.410184098012301</v>
      </c>
      <c r="AX69" s="4"/>
    </row>
    <row r="70" spans="1:50" x14ac:dyDescent="0.25">
      <c r="A70" t="s">
        <v>309</v>
      </c>
      <c r="B70">
        <v>153</v>
      </c>
      <c r="C70">
        <v>27</v>
      </c>
      <c r="D70">
        <v>30</v>
      </c>
      <c r="E70" s="606"/>
      <c r="F70">
        <v>255</v>
      </c>
      <c r="G70">
        <v>199</v>
      </c>
      <c r="H70">
        <v>44</v>
      </c>
      <c r="I70" s="68"/>
      <c r="M70" s="4"/>
      <c r="Q70" s="4"/>
      <c r="U70" s="4"/>
      <c r="Y70" s="4"/>
      <c r="Z70">
        <f t="shared" si="12"/>
        <v>127.5</v>
      </c>
      <c r="AA70">
        <f t="shared" si="13"/>
        <v>0</v>
      </c>
      <c r="AB70">
        <f t="shared" si="14"/>
        <v>0</v>
      </c>
      <c r="AC70" s="27"/>
      <c r="AD70">
        <f t="shared" si="15"/>
        <v>255</v>
      </c>
      <c r="AE70">
        <f t="shared" si="16"/>
        <v>255</v>
      </c>
      <c r="AF70">
        <f t="shared" si="17"/>
        <v>0</v>
      </c>
      <c r="AG70" s="9"/>
      <c r="AH70">
        <f t="shared" si="9"/>
        <v>0</v>
      </c>
      <c r="AI70">
        <f t="shared" si="10"/>
        <v>0</v>
      </c>
      <c r="AJ70">
        <f t="shared" si="11"/>
        <v>0</v>
      </c>
      <c r="AK70" s="4"/>
      <c r="AL70">
        <f>SQRT((2+(($AL$3+Table4[[#This Row],[Red]])/2)/256)*($AL$3-Table4[[#This Row],[Red]])^2 + 4*($AM$3-Table4[[#This Row],[Green]])^2 + (2+(255-(($AL$3+Table4[[#This Row],[Red]])/2))/256 )*($AN$3-Table4[[#This Row],[Blue]])^2)</f>
        <v>397.25808283155169</v>
      </c>
      <c r="AM70">
        <f>SQRT((2+(($AO$3+Table4[[#This Row],[Red2]])/2)/256)*($AO$3-Table4[[#This Row],[Red2]])^2 + 4*($AP$3-Table4[[#This Row],[Green2]])^2 + (2+(255-(($AO$3+Table4[[#This Row],[Red2]])/2))/256 )*($AQ$3-Table4[[#This Row],[Blue2]])^2)</f>
        <v>570.68004765969783</v>
      </c>
      <c r="AN70">
        <f>SQRT(Table4[[#This Row],[diffPrimary]]^2+Table4[[#This Row],[diffSecondary]]^2)</f>
        <v>695.33423701977665</v>
      </c>
      <c r="AO70" s="2">
        <f>SQRT((2+(($AL$3+Table4[[#This Row],[Red2]])/2)/256)*($AL$3-Table4[[#This Row],[Red2]])^2 + 4*($AM$3-Table4[[#This Row],[Green2]])^2 + (2+(255-(($AL$3+Table4[[#This Row],[Red2]])/2))/256 )*($AN$3-Table4[[#This Row],[Blue2]])^2)</f>
        <v>63.371918071019437</v>
      </c>
      <c r="AP70" s="2">
        <f>SQRT((2+(($AO$3+Table4[[#This Row],[Red]])/2)/256)*($AO$3-Table4[[#This Row],[Red]])^2 + 4*($AP$3-Table4[[#This Row],[Green]])^2 + (2+(255-(($AO$3+Table4[[#This Row],[Red]])/2))/256 )*($AQ$3-Table4[[#This Row],[Blue]])^2)</f>
        <v>243.2217232087319</v>
      </c>
      <c r="AQ70" s="2">
        <f>SQRT(Table4[[#This Row],[diffPrimary2]]^2+Table4[[#This Row],[diffSecondary2]]^2)</f>
        <v>251.3420112926309</v>
      </c>
      <c r="AR70" s="786">
        <f>MIN(Table4[[#This Row],[MinOrig]],Table4[[#This Row],[MinSwap]])</f>
        <v>251.3420112926309</v>
      </c>
      <c r="AS70" s="2">
        <v>45.9975797597004</v>
      </c>
      <c r="AX70" s="4"/>
    </row>
    <row r="71" spans="1:50" x14ac:dyDescent="0.25">
      <c r="A71" t="s">
        <v>72</v>
      </c>
      <c r="B71">
        <v>0</v>
      </c>
      <c r="C71">
        <v>67</v>
      </c>
      <c r="D71">
        <v>123</v>
      </c>
      <c r="E71" s="18"/>
      <c r="F71">
        <v>255</v>
      </c>
      <c r="G71">
        <v>218</v>
      </c>
      <c r="H71">
        <v>2</v>
      </c>
      <c r="I71" s="221"/>
      <c r="M71" s="4"/>
      <c r="Q71" s="4"/>
      <c r="U71" s="4"/>
      <c r="Y71" s="4"/>
      <c r="Z71">
        <f t="shared" si="12"/>
        <v>0</v>
      </c>
      <c r="AA71">
        <f t="shared" si="13"/>
        <v>127.5</v>
      </c>
      <c r="AB71">
        <f t="shared" si="14"/>
        <v>127.5</v>
      </c>
      <c r="AC71" s="24"/>
      <c r="AD71">
        <f t="shared" si="15"/>
        <v>255</v>
      </c>
      <c r="AE71">
        <f t="shared" si="16"/>
        <v>255</v>
      </c>
      <c r="AF71">
        <f t="shared" si="17"/>
        <v>0</v>
      </c>
      <c r="AG71" s="9"/>
      <c r="AH71">
        <f t="shared" si="9"/>
        <v>0</v>
      </c>
      <c r="AI71">
        <f t="shared" si="10"/>
        <v>0</v>
      </c>
      <c r="AJ71">
        <f t="shared" si="11"/>
        <v>0</v>
      </c>
      <c r="AK71" s="4"/>
      <c r="AL71">
        <f>SQRT((2+(($AL$3+Table4[[#This Row],[Red]])/2)/256)*($AL$3-Table4[[#This Row],[Red]])^2 + 4*($AM$3-Table4[[#This Row],[Green]])^2 + (2+(255-(($AL$3+Table4[[#This Row],[Red]])/2))/256 )*($AN$3-Table4[[#This Row],[Blue]])^2)</f>
        <v>525.74180851321876</v>
      </c>
      <c r="AM71">
        <f>SQRT((2+(($AO$3+Table4[[#This Row],[Red2]])/2)/256)*($AO$3-Table4[[#This Row],[Red2]])^2 + 4*($AP$3-Table4[[#This Row],[Green2]])^2 + (2+(255-(($AO$3+Table4[[#This Row],[Red2]])/2))/256 )*($AQ$3-Table4[[#This Row],[Blue2]])^2)</f>
        <v>593.75204440437506</v>
      </c>
      <c r="AN71">
        <f>SQRT(Table4[[#This Row],[diffPrimary]]^2+Table4[[#This Row],[diffSecondary]]^2)</f>
        <v>793.06111962012426</v>
      </c>
      <c r="AO71" s="2">
        <f>SQRT((2+(($AL$3+Table4[[#This Row],[Red2]])/2)/256)*($AL$3-Table4[[#This Row],[Red2]])^2 + 4*($AM$3-Table4[[#This Row],[Green2]])^2 + (2+(255-(($AL$3+Table4[[#This Row],[Red2]])/2))/256 )*($AN$3-Table4[[#This Row],[Blue2]])^2)</f>
        <v>26.153393661244042</v>
      </c>
      <c r="AP71" s="2">
        <f>SQRT((2+(($AO$3+Table4[[#This Row],[Red]])/2)/256)*($AO$3-Table4[[#This Row],[Red]])^2 + 4*($AP$3-Table4[[#This Row],[Green]])^2 + (2+(255-(($AO$3+Table4[[#This Row],[Red]])/2))/256 )*($AQ$3-Table4[[#This Row],[Blue]])^2)</f>
        <v>251.56291925430901</v>
      </c>
      <c r="AQ71" s="2">
        <f>SQRT(Table4[[#This Row],[diffPrimary2]]^2+Table4[[#This Row],[diffSecondary2]]^2)</f>
        <v>252.91876629414037</v>
      </c>
      <c r="AR71" s="786">
        <f>MIN(Table4[[#This Row],[MinOrig]],Table4[[#This Row],[MinSwap]])</f>
        <v>252.91876629414037</v>
      </c>
      <c r="AS71" s="2">
        <v>51.081085968780997</v>
      </c>
      <c r="AX71" s="4"/>
    </row>
    <row r="72" spans="1:50" x14ac:dyDescent="0.25">
      <c r="A72" t="s">
        <v>110</v>
      </c>
      <c r="B72">
        <v>12</v>
      </c>
      <c r="C72">
        <v>46</v>
      </c>
      <c r="D72">
        <v>135</v>
      </c>
      <c r="E72" s="278"/>
      <c r="F72">
        <v>255</v>
      </c>
      <c r="G72">
        <v>194</v>
      </c>
      <c r="H72">
        <v>17</v>
      </c>
      <c r="I72" s="279"/>
      <c r="J72">
        <v>255</v>
      </c>
      <c r="K72">
        <v>255</v>
      </c>
      <c r="L72">
        <v>255</v>
      </c>
      <c r="M72" s="3"/>
      <c r="Q72" s="4"/>
      <c r="U72" s="4"/>
      <c r="Y72" s="4"/>
      <c r="Z72">
        <f t="shared" si="12"/>
        <v>0</v>
      </c>
      <c r="AA72">
        <f t="shared" si="13"/>
        <v>0</v>
      </c>
      <c r="AB72">
        <f t="shared" si="14"/>
        <v>127.5</v>
      </c>
      <c r="AC72" s="26"/>
      <c r="AD72">
        <f t="shared" si="15"/>
        <v>255</v>
      </c>
      <c r="AE72">
        <f t="shared" si="16"/>
        <v>255</v>
      </c>
      <c r="AF72">
        <f t="shared" si="17"/>
        <v>0</v>
      </c>
      <c r="AG72" s="9"/>
      <c r="AH72">
        <f t="shared" si="9"/>
        <v>255</v>
      </c>
      <c r="AI72">
        <f t="shared" si="10"/>
        <v>255</v>
      </c>
      <c r="AJ72">
        <f t="shared" si="11"/>
        <v>255</v>
      </c>
      <c r="AK72" s="3"/>
      <c r="AL72">
        <f>SQRT((2+(($AL$3+Table4[[#This Row],[Red]])/2)/256)*($AL$3-Table4[[#This Row],[Red]])^2 + 4*($AM$3-Table4[[#This Row],[Green]])^2 + (2+(255-(($AL$3+Table4[[#This Row],[Red]])/2))/256 )*($AN$3-Table4[[#This Row],[Blue]])^2)</f>
        <v>543.24477606208973</v>
      </c>
      <c r="AM72">
        <f>SQRT((2+(($AO$3+Table4[[#This Row],[Red2]])/2)/256)*($AO$3-Table4[[#This Row],[Red2]])^2 + 4*($AP$3-Table4[[#This Row],[Green2]])^2 + (2+(255-(($AO$3+Table4[[#This Row],[Red2]])/2))/256 )*($AQ$3-Table4[[#This Row],[Blue2]])^2)</f>
        <v>560.09055838654342</v>
      </c>
      <c r="AN72">
        <f>SQRT(Table4[[#This Row],[diffPrimary]]^2+Table4[[#This Row],[diffSecondary]]^2)</f>
        <v>780.2668263565356</v>
      </c>
      <c r="AO72" s="2">
        <f>SQRT((2+(($AL$3+Table4[[#This Row],[Red2]])/2)/256)*($AL$3-Table4[[#This Row],[Red2]])^2 + 4*($AM$3-Table4[[#This Row],[Green2]])^2 + (2+(255-(($AL$3+Table4[[#This Row],[Red2]])/2))/256 )*($AN$3-Table4[[#This Row],[Blue2]])^2)</f>
        <v>32.58834147360065</v>
      </c>
      <c r="AP72" s="2">
        <f>SQRT((2+(($AO$3+Table4[[#This Row],[Red]])/2)/256)*($AO$3-Table4[[#This Row],[Red]])^2 + 4*($AP$3-Table4[[#This Row],[Green]])^2 + (2+(255-(($AO$3+Table4[[#This Row],[Red]])/2))/256 )*($AQ$3-Table4[[#This Row],[Blue]])^2)</f>
        <v>250.86258221634012</v>
      </c>
      <c r="AQ72" s="2">
        <f>SQRT(Table4[[#This Row],[diffPrimary2]]^2+Table4[[#This Row],[diffSecondary2]]^2)</f>
        <v>252.97042348118487</v>
      </c>
      <c r="AR72" s="786">
        <f>MIN(Table4[[#This Row],[MinOrig]],Table4[[#This Row],[MinSwap]])</f>
        <v>252.97042348118487</v>
      </c>
      <c r="AS72" s="2">
        <v>40.394973774592302</v>
      </c>
      <c r="AX72" s="4"/>
    </row>
    <row r="73" spans="1:50" x14ac:dyDescent="0.25">
      <c r="A73" t="s">
        <v>35</v>
      </c>
      <c r="B73">
        <v>0</v>
      </c>
      <c r="C73">
        <v>56</v>
      </c>
      <c r="D73">
        <v>49</v>
      </c>
      <c r="E73" s="137"/>
      <c r="F73">
        <v>255</v>
      </c>
      <c r="G73">
        <v>227</v>
      </c>
      <c r="H73">
        <v>149</v>
      </c>
      <c r="I73" s="138"/>
      <c r="J73">
        <v>179</v>
      </c>
      <c r="K73">
        <v>143</v>
      </c>
      <c r="L73">
        <v>79</v>
      </c>
      <c r="M73" s="139"/>
      <c r="N73">
        <v>0</v>
      </c>
      <c r="O73">
        <v>0</v>
      </c>
      <c r="P73">
        <v>0</v>
      </c>
      <c r="Q73" s="4"/>
      <c r="U73" s="4"/>
      <c r="Y73" s="4"/>
      <c r="Z73">
        <f t="shared" si="12"/>
        <v>0</v>
      </c>
      <c r="AA73">
        <f t="shared" si="13"/>
        <v>0</v>
      </c>
      <c r="AB73">
        <f t="shared" si="14"/>
        <v>0</v>
      </c>
      <c r="AC73" s="4"/>
      <c r="AD73">
        <f t="shared" si="15"/>
        <v>255</v>
      </c>
      <c r="AE73">
        <f t="shared" si="16"/>
        <v>255</v>
      </c>
      <c r="AF73">
        <f t="shared" si="17"/>
        <v>127.5</v>
      </c>
      <c r="AG73" s="29"/>
      <c r="AH73">
        <f t="shared" si="9"/>
        <v>127.5</v>
      </c>
      <c r="AI73">
        <f t="shared" si="10"/>
        <v>127.5</v>
      </c>
      <c r="AJ73">
        <f t="shared" si="11"/>
        <v>127.5</v>
      </c>
      <c r="AK73" s="32"/>
      <c r="AL73">
        <f>SQRT((2+(($AL$3+Table4[[#This Row],[Red]])/2)/256)*($AL$3-Table4[[#This Row],[Red]])^2 + 4*($AM$3-Table4[[#This Row],[Green]])^2 + (2+(255-(($AL$3+Table4[[#This Row],[Red]])/2))/256 )*($AN$3-Table4[[#This Row],[Blue]])^2)</f>
        <v>507.18567467324033</v>
      </c>
      <c r="AM73">
        <f>SQRT((2+(($AO$3+Table4[[#This Row],[Red2]])/2)/256)*($AO$3-Table4[[#This Row],[Red2]])^2 + 4*($AP$3-Table4[[#This Row],[Green2]])^2 + (2+(255-(($AO$3+Table4[[#This Row],[Red2]])/2))/256 )*($AQ$3-Table4[[#This Row],[Blue2]])^2)</f>
        <v>651.1609913982486</v>
      </c>
      <c r="AN73">
        <f>SQRT(Table4[[#This Row],[diffPrimary]]^2+Table4[[#This Row],[diffSecondary]]^2)</f>
        <v>825.37745626622245</v>
      </c>
      <c r="AO73" s="2">
        <f>SQRT((2+(($AL$3+Table4[[#This Row],[Red2]])/2)/256)*($AL$3-Table4[[#This Row],[Red2]])^2 + 4*($AM$3-Table4[[#This Row],[Green2]])^2 + (2+(255-(($AL$3+Table4[[#This Row],[Red2]])/2))/256 )*($AN$3-Table4[[#This Row],[Blue2]])^2)</f>
        <v>215.26263029146511</v>
      </c>
      <c r="AP73" s="2">
        <f>SQRT((2+(($AO$3+Table4[[#This Row],[Red]])/2)/256)*($AO$3-Table4[[#This Row],[Red]])^2 + 4*($AP$3-Table4[[#This Row],[Green]])^2 + (2+(255-(($AO$3+Table4[[#This Row],[Red]])/2))/256 )*($AQ$3-Table4[[#This Row],[Blue]])^2)</f>
        <v>140.49064415024225</v>
      </c>
      <c r="AQ73" s="2">
        <f>SQRT(Table4[[#This Row],[diffPrimary2]]^2+Table4[[#This Row],[diffSecondary2]]^2)</f>
        <v>257.05178679353696</v>
      </c>
      <c r="AR73" s="786">
        <f>MIN(Table4[[#This Row],[MinOrig]],Table4[[#This Row],[MinSwap]])</f>
        <v>257.05178679353696</v>
      </c>
      <c r="AS73" s="2">
        <v>98.796784803454003</v>
      </c>
      <c r="AX73" s="4"/>
    </row>
    <row r="74" spans="1:50" x14ac:dyDescent="0.25">
      <c r="A74" t="s">
        <v>164</v>
      </c>
      <c r="B74">
        <v>244</v>
      </c>
      <c r="C74">
        <v>115</v>
      </c>
      <c r="D74">
        <v>33</v>
      </c>
      <c r="E74" s="371"/>
      <c r="F74">
        <v>0</v>
      </c>
      <c r="G74">
        <v>80</v>
      </c>
      <c r="H74">
        <v>48</v>
      </c>
      <c r="I74" s="372"/>
      <c r="J74">
        <v>255</v>
      </c>
      <c r="K74">
        <v>255</v>
      </c>
      <c r="L74">
        <v>255</v>
      </c>
      <c r="M74" s="3"/>
      <c r="Q74" s="4"/>
      <c r="U74" s="4"/>
      <c r="Y74" s="4"/>
      <c r="Z74">
        <f t="shared" si="12"/>
        <v>255</v>
      </c>
      <c r="AA74">
        <f t="shared" si="13"/>
        <v>127.5</v>
      </c>
      <c r="AB74">
        <f t="shared" si="14"/>
        <v>0</v>
      </c>
      <c r="AC74" s="28"/>
      <c r="AD74">
        <f t="shared" si="15"/>
        <v>0</v>
      </c>
      <c r="AE74">
        <f t="shared" si="16"/>
        <v>127.5</v>
      </c>
      <c r="AF74">
        <f t="shared" si="17"/>
        <v>0</v>
      </c>
      <c r="AG74" s="34"/>
      <c r="AH74">
        <f t="shared" si="9"/>
        <v>255</v>
      </c>
      <c r="AI74">
        <f t="shared" si="10"/>
        <v>255</v>
      </c>
      <c r="AJ74">
        <f t="shared" si="11"/>
        <v>255</v>
      </c>
      <c r="AK74" s="3"/>
      <c r="AL74">
        <f>SQRT((2+(($AL$3+Table4[[#This Row],[Red]])/2)/256)*($AL$3-Table4[[#This Row],[Red]])^2 + 4*($AM$3-Table4[[#This Row],[Green]])^2 + (2+(255-(($AL$3+Table4[[#This Row],[Red]])/2))/256 )*($AN$3-Table4[[#This Row],[Blue]])^2)</f>
        <v>186.97947539435978</v>
      </c>
      <c r="AM74">
        <f>SQRT((2+(($AO$3+Table4[[#This Row],[Red2]])/2)/256)*($AO$3-Table4[[#This Row],[Red2]])^2 + 4*($AP$3-Table4[[#This Row],[Green2]])^2 + (2+(255-(($AO$3+Table4[[#This Row],[Red2]])/2))/256 )*($AQ$3-Table4[[#This Row],[Blue2]])^2)</f>
        <v>180.28588408414009</v>
      </c>
      <c r="AN74">
        <f>SQRT(Table4[[#This Row],[diffPrimary]]^2+Table4[[#This Row],[diffSecondary]]^2)</f>
        <v>259.7389539879415</v>
      </c>
      <c r="AO74" s="2">
        <f>SQRT((2+(($AL$3+Table4[[#This Row],[Red2]])/2)/256)*($AL$3-Table4[[#This Row],[Red2]])^2 + 4*($AM$3-Table4[[#This Row],[Green2]])^2 + (2+(255-(($AL$3+Table4[[#This Row],[Red2]])/2))/256 )*($AN$3-Table4[[#This Row],[Blue2]])^2)</f>
        <v>480.30302731387712</v>
      </c>
      <c r="AP74" s="2">
        <f>SQRT((2+(($AO$3+Table4[[#This Row],[Red]])/2)/256)*($AO$3-Table4[[#This Row],[Red]])^2 + 4*($AP$3-Table4[[#This Row],[Green]])^2 + (2+(255-(($AO$3+Table4[[#This Row],[Red]])/2))/256 )*($AQ$3-Table4[[#This Row],[Blue]])^2)</f>
        <v>450.65329748183359</v>
      </c>
      <c r="AQ74" s="2">
        <f>SQRT(Table4[[#This Row],[diffPrimary2]]^2+Table4[[#This Row],[diffSecondary2]]^2)</f>
        <v>658.61930777811619</v>
      </c>
      <c r="AR74" s="786">
        <f>MIN(Table4[[#This Row],[MinOrig]],Table4[[#This Row],[MinSwap]])</f>
        <v>259.7389539879415</v>
      </c>
      <c r="AS74" s="2">
        <v>42.7471216136245</v>
      </c>
      <c r="AX74" s="4"/>
    </row>
    <row r="75" spans="1:50" x14ac:dyDescent="0.25">
      <c r="A75" t="s">
        <v>57</v>
      </c>
      <c r="B75">
        <v>30</v>
      </c>
      <c r="C75">
        <v>77</v>
      </c>
      <c r="D75">
        <v>43</v>
      </c>
      <c r="E75" s="183"/>
      <c r="F75">
        <v>200</v>
      </c>
      <c r="G75">
        <v>195</v>
      </c>
      <c r="H75">
        <v>114</v>
      </c>
      <c r="I75" s="184"/>
      <c r="M75" s="4"/>
      <c r="Q75" s="4"/>
      <c r="U75" s="4"/>
      <c r="Y75" s="4"/>
      <c r="Z75">
        <f t="shared" si="12"/>
        <v>0</v>
      </c>
      <c r="AA75">
        <f t="shared" si="13"/>
        <v>127.5</v>
      </c>
      <c r="AB75">
        <f t="shared" si="14"/>
        <v>0</v>
      </c>
      <c r="AC75" s="34"/>
      <c r="AD75">
        <f t="shared" si="15"/>
        <v>255</v>
      </c>
      <c r="AE75">
        <f t="shared" si="16"/>
        <v>255</v>
      </c>
      <c r="AF75">
        <f t="shared" si="17"/>
        <v>127.5</v>
      </c>
      <c r="AG75" s="29"/>
      <c r="AH75">
        <f t="shared" si="9"/>
        <v>0</v>
      </c>
      <c r="AI75">
        <f t="shared" si="10"/>
        <v>0</v>
      </c>
      <c r="AJ75">
        <f t="shared" si="11"/>
        <v>0</v>
      </c>
      <c r="AK75" s="4"/>
      <c r="AL75">
        <f>SQRT((2+(($AL$3+Table4[[#This Row],[Red]])/2)/256)*($AL$3-Table4[[#This Row],[Red]])^2 + 4*($AM$3-Table4[[#This Row],[Green]])^2 + (2+(255-(($AL$3+Table4[[#This Row],[Red]])/2))/256 )*($AN$3-Table4[[#This Row],[Blue]])^2)</f>
        <v>446.62789933987557</v>
      </c>
      <c r="AM75">
        <f>SQRT((2+(($AO$3+Table4[[#This Row],[Red2]])/2)/256)*($AO$3-Table4[[#This Row],[Red2]])^2 + 4*($AP$3-Table4[[#This Row],[Green2]])^2 + (2+(255-(($AO$3+Table4[[#This Row],[Red2]])/2))/256 )*($AQ$3-Table4[[#This Row],[Blue2]])^2)</f>
        <v>530.64646599690082</v>
      </c>
      <c r="AN75">
        <f>SQRT(Table4[[#This Row],[diffPrimary]]^2+Table4[[#This Row],[diffSecondary]]^2)</f>
        <v>693.58644186845959</v>
      </c>
      <c r="AO75" s="2">
        <f>SQRT((2+(($AL$3+Table4[[#This Row],[Red2]])/2)/256)*($AL$3-Table4[[#This Row],[Red2]])^2 + 4*($AM$3-Table4[[#This Row],[Green2]])^2 + (2+(255-(($AL$3+Table4[[#This Row],[Red2]])/2))/256 )*($AN$3-Table4[[#This Row],[Blue2]])^2)</f>
        <v>191.11851587267782</v>
      </c>
      <c r="AP75" s="2">
        <f>SQRT((2+(($AO$3+Table4[[#This Row],[Red]])/2)/256)*($AO$3-Table4[[#This Row],[Red]])^2 + 4*($AP$3-Table4[[#This Row],[Green]])^2 + (2+(255-(($AO$3+Table4[[#This Row],[Red]])/2))/256 )*($AQ$3-Table4[[#This Row],[Blue]])^2)</f>
        <v>176.06865670811487</v>
      </c>
      <c r="AQ75" s="2">
        <f>SQRT(Table4[[#This Row],[diffPrimary2]]^2+Table4[[#This Row],[diffSecondary2]]^2)</f>
        <v>259.85853648547896</v>
      </c>
      <c r="AR75" s="786">
        <f>MIN(Table4[[#This Row],[MinOrig]],Table4[[#This Row],[MinSwap]])</f>
        <v>259.85853648547896</v>
      </c>
      <c r="AS75" s="2">
        <v>59.779967641761097</v>
      </c>
      <c r="AX75" s="4"/>
    </row>
    <row r="76" spans="1:50" x14ac:dyDescent="0.25">
      <c r="A76" t="s">
        <v>280</v>
      </c>
      <c r="B76">
        <v>157</v>
      </c>
      <c r="C76">
        <v>34</v>
      </c>
      <c r="D76">
        <v>53</v>
      </c>
      <c r="E76" s="85"/>
      <c r="F76">
        <v>255</v>
      </c>
      <c r="G76">
        <v>205</v>
      </c>
      <c r="H76">
        <v>0</v>
      </c>
      <c r="I76" s="299"/>
      <c r="J76">
        <v>138</v>
      </c>
      <c r="K76">
        <v>141</v>
      </c>
      <c r="L76">
        <v>143</v>
      </c>
      <c r="M76" s="66"/>
      <c r="N76">
        <v>193</v>
      </c>
      <c r="O76">
        <v>198</v>
      </c>
      <c r="P76">
        <v>200</v>
      </c>
      <c r="Q76" s="268"/>
      <c r="R76">
        <v>0</v>
      </c>
      <c r="S76">
        <v>0</v>
      </c>
      <c r="T76">
        <v>0</v>
      </c>
      <c r="U76" s="4"/>
      <c r="V76">
        <v>255</v>
      </c>
      <c r="W76">
        <v>255</v>
      </c>
      <c r="X76">
        <v>255</v>
      </c>
      <c r="Y76" s="3"/>
      <c r="Z76">
        <f t="shared" si="12"/>
        <v>127.5</v>
      </c>
      <c r="AA76">
        <f t="shared" si="13"/>
        <v>0</v>
      </c>
      <c r="AB76">
        <f t="shared" si="14"/>
        <v>0</v>
      </c>
      <c r="AC76" s="27"/>
      <c r="AD76">
        <f t="shared" si="15"/>
        <v>255</v>
      </c>
      <c r="AE76">
        <f t="shared" si="16"/>
        <v>255</v>
      </c>
      <c r="AF76">
        <f t="shared" si="17"/>
        <v>0</v>
      </c>
      <c r="AG76" s="9"/>
      <c r="AH76">
        <f t="shared" si="9"/>
        <v>127.5</v>
      </c>
      <c r="AI76">
        <f t="shared" si="10"/>
        <v>127.5</v>
      </c>
      <c r="AJ76">
        <f t="shared" si="11"/>
        <v>127.5</v>
      </c>
      <c r="AK76" s="32"/>
      <c r="AL76">
        <f>SQRT((2+(($AL$3+Table4[[#This Row],[Red]])/2)/256)*($AL$3-Table4[[#This Row],[Red]])^2 + 4*($AM$3-Table4[[#This Row],[Green]])^2 + (2+(255-(($AL$3+Table4[[#This Row],[Red]])/2))/256 )*($AN$3-Table4[[#This Row],[Blue]])^2)</f>
        <v>387.37046726131564</v>
      </c>
      <c r="AM76">
        <f>SQRT((2+(($AO$3+Table4[[#This Row],[Red2]])/2)/256)*($AO$3-Table4[[#This Row],[Red2]])^2 + 4*($AP$3-Table4[[#This Row],[Green2]])^2 + (2+(255-(($AO$3+Table4[[#This Row],[Red2]])/2))/256 )*($AQ$3-Table4[[#This Row],[Blue2]])^2)</f>
        <v>574.92216694686158</v>
      </c>
      <c r="AN76">
        <f>SQRT(Table4[[#This Row],[diffPrimary]]^2+Table4[[#This Row],[diffSecondary]]^2)</f>
        <v>693.24698120736525</v>
      </c>
      <c r="AO76" s="2">
        <f>SQRT((2+(($AL$3+Table4[[#This Row],[Red2]])/2)/256)*($AL$3-Table4[[#This Row],[Red2]])^2 + 4*($AM$3-Table4[[#This Row],[Green2]])^2 + (2+(255-(($AL$3+Table4[[#This Row],[Red2]])/2))/256 )*($AN$3-Table4[[#This Row],[Blue2]])^2)</f>
        <v>0</v>
      </c>
      <c r="AP76" s="2">
        <f>SQRT((2+(($AO$3+Table4[[#This Row],[Red]])/2)/256)*($AO$3-Table4[[#This Row],[Red]])^2 + 4*($AP$3-Table4[[#This Row],[Green]])^2 + (2+(255-(($AO$3+Table4[[#This Row],[Red]])/2))/256 )*($AQ$3-Table4[[#This Row],[Blue]])^2)</f>
        <v>262.74523514946947</v>
      </c>
      <c r="AQ76" s="2">
        <f>SQRT(Table4[[#This Row],[diffPrimary2]]^2+Table4[[#This Row],[diffSecondary2]]^2)</f>
        <v>262.74523514946947</v>
      </c>
      <c r="AR76" s="786">
        <f>MIN(Table4[[#This Row],[MinOrig]],Table4[[#This Row],[MinSwap]])</f>
        <v>262.74523514946947</v>
      </c>
      <c r="AS76" s="2">
        <v>53.357139868999703</v>
      </c>
      <c r="AX76" s="4"/>
    </row>
    <row r="77" spans="1:50" x14ac:dyDescent="0.25">
      <c r="A77" t="s">
        <v>149</v>
      </c>
      <c r="B77">
        <v>146</v>
      </c>
      <c r="C77">
        <v>34</v>
      </c>
      <c r="D77">
        <v>71</v>
      </c>
      <c r="E77" s="631"/>
      <c r="F77">
        <v>254</v>
      </c>
      <c r="G77">
        <v>189</v>
      </c>
      <c r="H77">
        <v>24</v>
      </c>
      <c r="I77" s="632"/>
      <c r="M77" s="4"/>
      <c r="Q77" s="4"/>
      <c r="U77" s="4"/>
      <c r="Y77" s="4"/>
      <c r="Z77">
        <f t="shared" si="12"/>
        <v>127.5</v>
      </c>
      <c r="AA77">
        <f t="shared" si="13"/>
        <v>0</v>
      </c>
      <c r="AB77">
        <f t="shared" si="14"/>
        <v>127.5</v>
      </c>
      <c r="AC77" s="30"/>
      <c r="AD77">
        <f t="shared" si="15"/>
        <v>255</v>
      </c>
      <c r="AE77">
        <f t="shared" si="16"/>
        <v>127.5</v>
      </c>
      <c r="AF77">
        <f t="shared" si="17"/>
        <v>0</v>
      </c>
      <c r="AG77" s="28"/>
      <c r="AH77">
        <f t="shared" si="9"/>
        <v>0</v>
      </c>
      <c r="AI77">
        <f t="shared" si="10"/>
        <v>0</v>
      </c>
      <c r="AJ77">
        <f t="shared" si="11"/>
        <v>0</v>
      </c>
      <c r="AK77" s="4"/>
      <c r="AL77">
        <f>SQRT((2+(($AL$3+Table4[[#This Row],[Red]])/2)/256)*($AL$3-Table4[[#This Row],[Red]])^2 + 4*($AM$3-Table4[[#This Row],[Green]])^2 + (2+(255-(($AL$3+Table4[[#This Row],[Red]])/2))/256 )*($AN$3-Table4[[#This Row],[Blue]])^2)</f>
        <v>401.48028341221192</v>
      </c>
      <c r="AM77">
        <f>SQRT((2+(($AO$3+Table4[[#This Row],[Red2]])/2)/256)*($AO$3-Table4[[#This Row],[Red2]])^2 + 4*($AP$3-Table4[[#This Row],[Green2]])^2 + (2+(255-(($AO$3+Table4[[#This Row],[Red2]])/2))/256 )*($AQ$3-Table4[[#This Row],[Blue2]])^2)</f>
        <v>552.59567893261703</v>
      </c>
      <c r="AN77">
        <f>SQRT(Table4[[#This Row],[diffPrimary]]^2+Table4[[#This Row],[diffSecondary]]^2)</f>
        <v>683.04348495813201</v>
      </c>
      <c r="AO77" s="2">
        <f>SQRT((2+(($AL$3+Table4[[#This Row],[Red2]])/2)/256)*($AL$3-Table4[[#This Row],[Red2]])^2 + 4*($AM$3-Table4[[#This Row],[Green2]])^2 + (2+(255-(($AL$3+Table4[[#This Row],[Red2]])/2))/256 )*($AN$3-Table4[[#This Row],[Blue2]])^2)</f>
        <v>46.691745958199078</v>
      </c>
      <c r="AP77" s="2">
        <f>SQRT((2+(($AO$3+Table4[[#This Row],[Red]])/2)/256)*($AO$3-Table4[[#This Row],[Red]])^2 + 4*($AP$3-Table4[[#This Row],[Green]])^2 + (2+(255-(($AO$3+Table4[[#This Row],[Red]])/2))/256 )*($AQ$3-Table4[[#This Row],[Blue]])^2)</f>
        <v>258.84401975417552</v>
      </c>
      <c r="AQ77" s="2">
        <f>SQRT(Table4[[#This Row],[diffPrimary2]]^2+Table4[[#This Row],[diffSecondary2]]^2)</f>
        <v>263.02156889336089</v>
      </c>
      <c r="AR77" s="786">
        <f>MIN(Table4[[#This Row],[MinOrig]],Table4[[#This Row],[MinSwap]])</f>
        <v>263.02156889336089</v>
      </c>
      <c r="AS77" s="2">
        <v>32.9997040706428</v>
      </c>
      <c r="AX77" s="4"/>
    </row>
    <row r="78" spans="1:50" x14ac:dyDescent="0.25">
      <c r="A78" t="s">
        <v>25</v>
      </c>
      <c r="B78">
        <v>115</v>
      </c>
      <c r="C78">
        <v>0</v>
      </c>
      <c r="D78">
        <v>10</v>
      </c>
      <c r="E78" s="106"/>
      <c r="F78">
        <v>203</v>
      </c>
      <c r="G78">
        <v>182</v>
      </c>
      <c r="H78">
        <v>119</v>
      </c>
      <c r="I78" s="107"/>
      <c r="J78">
        <v>110</v>
      </c>
      <c r="K78">
        <v>98</v>
      </c>
      <c r="L78">
        <v>89</v>
      </c>
      <c r="M78" s="108"/>
      <c r="Q78" s="4"/>
      <c r="U78" s="4"/>
      <c r="Y78" s="4"/>
      <c r="Z78">
        <f t="shared" si="12"/>
        <v>127.5</v>
      </c>
      <c r="AA78">
        <f t="shared" si="13"/>
        <v>0</v>
      </c>
      <c r="AB78">
        <f t="shared" si="14"/>
        <v>0</v>
      </c>
      <c r="AC78" s="27"/>
      <c r="AD78">
        <f t="shared" si="15"/>
        <v>255</v>
      </c>
      <c r="AE78">
        <f t="shared" si="16"/>
        <v>127.5</v>
      </c>
      <c r="AF78">
        <f t="shared" si="17"/>
        <v>127.5</v>
      </c>
      <c r="AG78" s="25"/>
      <c r="AH78">
        <f t="shared" si="9"/>
        <v>127.5</v>
      </c>
      <c r="AI78">
        <f t="shared" si="10"/>
        <v>127.5</v>
      </c>
      <c r="AJ78">
        <f t="shared" si="11"/>
        <v>127.5</v>
      </c>
      <c r="AK78" s="32"/>
      <c r="AL78">
        <f>SQRT((2+(($AL$3+Table4[[#This Row],[Red]])/2)/256)*($AL$3-Table4[[#This Row],[Red]])^2 + 4*($AM$3-Table4[[#This Row],[Green]])^2 + (2+(255-(($AL$3+Table4[[#This Row],[Red]])/2))/256 )*($AN$3-Table4[[#This Row],[Blue]])^2)</f>
        <v>470.84116881385808</v>
      </c>
      <c r="AM78">
        <f>SQRT((2+(($AO$3+Table4[[#This Row],[Red2]])/2)/256)*($AO$3-Table4[[#This Row],[Red2]])^2 + 4*($AP$3-Table4[[#This Row],[Green2]])^2 + (2+(255-(($AO$3+Table4[[#This Row],[Red2]])/2))/256 )*($AQ$3-Table4[[#This Row],[Blue2]])^2)</f>
        <v>517.75070542564208</v>
      </c>
      <c r="AN78">
        <f>SQRT(Table4[[#This Row],[diffPrimary]]^2+Table4[[#This Row],[diffSecondary]]^2)</f>
        <v>699.82654938116627</v>
      </c>
      <c r="AO78" s="2">
        <f>SQRT((2+(($AL$3+Table4[[#This Row],[Red2]])/2)/256)*($AL$3-Table4[[#This Row],[Red2]])^2 + 4*($AM$3-Table4[[#This Row],[Green2]])^2 + (2+(255-(($AL$3+Table4[[#This Row],[Red2]])/2))/256 )*($AN$3-Table4[[#This Row],[Blue2]])^2)</f>
        <v>199.25621461450081</v>
      </c>
      <c r="AP78" s="2">
        <f>SQRT((2+(($AO$3+Table4[[#This Row],[Red]])/2)/256)*($AO$3-Table4[[#This Row],[Red]])^2 + 4*($AP$3-Table4[[#This Row],[Green]])^2 + (2+(255-(($AO$3+Table4[[#This Row],[Red]])/2))/256 )*($AQ$3-Table4[[#This Row],[Blue]])^2)</f>
        <v>172.32993768314026</v>
      </c>
      <c r="AQ78" s="2">
        <f>SQRT(Table4[[#This Row],[diffPrimary2]]^2+Table4[[#This Row],[diffSecondary2]]^2)</f>
        <v>263.4400244540966</v>
      </c>
      <c r="AR78" s="786">
        <f>MIN(Table4[[#This Row],[MinOrig]],Table4[[#This Row],[MinSwap]])</f>
        <v>263.4400244540966</v>
      </c>
      <c r="AS78" s="2">
        <v>82.2617772723152</v>
      </c>
      <c r="AX78" s="4"/>
    </row>
    <row r="79" spans="1:50" x14ac:dyDescent="0.25">
      <c r="A79" t="s">
        <v>283</v>
      </c>
      <c r="B79">
        <v>79</v>
      </c>
      <c r="C79">
        <v>41</v>
      </c>
      <c r="D79">
        <v>132</v>
      </c>
      <c r="E79" s="529"/>
      <c r="F79">
        <v>255</v>
      </c>
      <c r="G79">
        <v>221</v>
      </c>
      <c r="H79">
        <v>0</v>
      </c>
      <c r="I79" s="21"/>
      <c r="M79" s="4"/>
      <c r="Q79" s="4"/>
      <c r="U79" s="4"/>
      <c r="Y79" s="4"/>
      <c r="Z79">
        <f t="shared" si="12"/>
        <v>127.5</v>
      </c>
      <c r="AA79">
        <f t="shared" si="13"/>
        <v>0</v>
      </c>
      <c r="AB79">
        <f t="shared" si="14"/>
        <v>127.5</v>
      </c>
      <c r="AC79" s="30"/>
      <c r="AD79">
        <f t="shared" si="15"/>
        <v>255</v>
      </c>
      <c r="AE79">
        <f t="shared" si="16"/>
        <v>255</v>
      </c>
      <c r="AF79">
        <f t="shared" si="17"/>
        <v>0</v>
      </c>
      <c r="AG79" s="9"/>
      <c r="AH79">
        <f t="shared" si="9"/>
        <v>0</v>
      </c>
      <c r="AI79">
        <f t="shared" si="10"/>
        <v>0</v>
      </c>
      <c r="AJ79">
        <f t="shared" si="11"/>
        <v>0</v>
      </c>
      <c r="AK79" s="4"/>
      <c r="AL79">
        <f>SQRT((2+(($AL$3+Table4[[#This Row],[Red]])/2)/256)*($AL$3-Table4[[#This Row],[Red]])^2 + 4*($AM$3-Table4[[#This Row],[Green]])^2 + (2+(255-(($AL$3+Table4[[#This Row],[Red]])/2))/256 )*($AN$3-Table4[[#This Row],[Blue]])^2)</f>
        <v>480.18798402292407</v>
      </c>
      <c r="AM79">
        <f>SQRT((2+(($AO$3+Table4[[#This Row],[Red2]])/2)/256)*($AO$3-Table4[[#This Row],[Red2]])^2 + 4*($AP$3-Table4[[#This Row],[Green2]])^2 + (2+(255-(($AO$3+Table4[[#This Row],[Red2]])/2))/256 )*($AQ$3-Table4[[#This Row],[Blue2]])^2)</f>
        <v>598.16343757109985</v>
      </c>
      <c r="AN79">
        <f>SQRT(Table4[[#This Row],[diffPrimary]]^2+Table4[[#This Row],[diffSecondary]]^2)</f>
        <v>767.05931846688031</v>
      </c>
      <c r="AO79" s="2">
        <f>SQRT((2+(($AL$3+Table4[[#This Row],[Red2]])/2)/256)*($AL$3-Table4[[#This Row],[Red2]])^2 + 4*($AM$3-Table4[[#This Row],[Green2]])^2 + (2+(255-(($AL$3+Table4[[#This Row],[Red2]])/2))/256 )*($AN$3-Table4[[#This Row],[Blue2]])^2)</f>
        <v>32</v>
      </c>
      <c r="AP79" s="2">
        <f>SQRT((2+(($AO$3+Table4[[#This Row],[Red]])/2)/256)*($AO$3-Table4[[#This Row],[Red]])^2 + 4*($AP$3-Table4[[#This Row],[Green]])^2 + (2+(255-(($AO$3+Table4[[#This Row],[Red]])/2))/256 )*($AQ$3-Table4[[#This Row],[Blue]])^2)</f>
        <v>263.97809671803265</v>
      </c>
      <c r="AQ79" s="2">
        <f>SQRT(Table4[[#This Row],[diffPrimary2]]^2+Table4[[#This Row],[diffSecondary2]]^2)</f>
        <v>265.91057810263021</v>
      </c>
      <c r="AR79" s="786">
        <f>MIN(Table4[[#This Row],[MinOrig]],Table4[[#This Row],[MinSwap]])</f>
        <v>265.91057810263021</v>
      </c>
      <c r="AS79" s="2">
        <v>62.437171545682602</v>
      </c>
      <c r="AX79" s="4"/>
    </row>
    <row r="80" spans="1:50" x14ac:dyDescent="0.25">
      <c r="A80" t="s">
        <v>81</v>
      </c>
      <c r="B80">
        <v>115</v>
      </c>
      <c r="C80">
        <v>0</v>
      </c>
      <c r="D80">
        <v>10</v>
      </c>
      <c r="E80" s="106"/>
      <c r="F80">
        <v>181</v>
      </c>
      <c r="G80">
        <v>154</v>
      </c>
      <c r="H80">
        <v>87</v>
      </c>
      <c r="I80" s="231"/>
      <c r="J80">
        <v>255</v>
      </c>
      <c r="K80">
        <v>255</v>
      </c>
      <c r="L80">
        <v>255</v>
      </c>
      <c r="M80" s="3"/>
      <c r="N80">
        <v>0</v>
      </c>
      <c r="O80">
        <v>0</v>
      </c>
      <c r="P80">
        <v>0</v>
      </c>
      <c r="Q80" s="4"/>
      <c r="U80" s="4"/>
      <c r="Y80" s="4"/>
      <c r="Z80">
        <f t="shared" si="12"/>
        <v>127.5</v>
      </c>
      <c r="AA80">
        <f t="shared" si="13"/>
        <v>0</v>
      </c>
      <c r="AB80">
        <f t="shared" si="14"/>
        <v>0</v>
      </c>
      <c r="AC80" s="27"/>
      <c r="AD80">
        <f t="shared" si="15"/>
        <v>127.5</v>
      </c>
      <c r="AE80">
        <f t="shared" si="16"/>
        <v>127.5</v>
      </c>
      <c r="AF80">
        <f t="shared" si="17"/>
        <v>127.5</v>
      </c>
      <c r="AG80" s="32"/>
      <c r="AH80">
        <f t="shared" ref="AH80:AH98" si="18">ROUND(J80/255*$AA$2,0)*$AC$2/$AA$2</f>
        <v>255</v>
      </c>
      <c r="AI80">
        <f t="shared" ref="AI80:AI98" si="19">ROUND(K80/255*$AA$2,0)*$AC$2/$AA$2</f>
        <v>255</v>
      </c>
      <c r="AJ80">
        <f t="shared" ref="AJ80:AJ98" si="20">ROUND(L80/255*$AA$2,0)*$AC$2/$AA$2</f>
        <v>255</v>
      </c>
      <c r="AK80" s="3"/>
      <c r="AL80">
        <f>SQRT((2+(($AL$3+Table4[[#This Row],[Red]])/2)/256)*($AL$3-Table4[[#This Row],[Red]])^2 + 4*($AM$3-Table4[[#This Row],[Green]])^2 + (2+(255-(($AL$3+Table4[[#This Row],[Red]])/2))/256 )*($AN$3-Table4[[#This Row],[Blue]])^2)</f>
        <v>470.84116881385808</v>
      </c>
      <c r="AM80">
        <f>SQRT((2+(($AO$3+Table4[[#This Row],[Red2]])/2)/256)*($AO$3-Table4[[#This Row],[Red2]])^2 + 4*($AP$3-Table4[[#This Row],[Green2]])^2 + (2+(255-(($AO$3+Table4[[#This Row],[Red2]])/2))/256 )*($AQ$3-Table4[[#This Row],[Blue2]])^2)</f>
        <v>438.14289817221731</v>
      </c>
      <c r="AN80">
        <f>SQRT(Table4[[#This Row],[diffPrimary]]^2+Table4[[#This Row],[diffSecondary]]^2)</f>
        <v>643.16452441715876</v>
      </c>
      <c r="AO80" s="2">
        <f>SQRT((2+(($AL$3+Table4[[#This Row],[Red2]])/2)/256)*($AL$3-Table4[[#This Row],[Red2]])^2 + 4*($AM$3-Table4[[#This Row],[Green2]])^2 + (2+(255-(($AL$3+Table4[[#This Row],[Red2]])/2))/256 )*($AN$3-Table4[[#This Row],[Blue2]])^2)</f>
        <v>205.55075597343347</v>
      </c>
      <c r="AP80" s="2">
        <f>SQRT((2+(($AO$3+Table4[[#This Row],[Red]])/2)/256)*($AO$3-Table4[[#This Row],[Red]])^2 + 4*($AP$3-Table4[[#This Row],[Green]])^2 + (2+(255-(($AO$3+Table4[[#This Row],[Red]])/2))/256 )*($AQ$3-Table4[[#This Row],[Blue]])^2)</f>
        <v>172.32993768314026</v>
      </c>
      <c r="AQ80" s="2">
        <f>SQRT(Table4[[#This Row],[diffPrimary2]]^2+Table4[[#This Row],[diffSecondary2]]^2)</f>
        <v>268.23258695230339</v>
      </c>
      <c r="AR80" s="786">
        <f>MIN(Table4[[#This Row],[MinOrig]],Table4[[#This Row],[MinSwap]])</f>
        <v>268.23258695230339</v>
      </c>
      <c r="AS80" s="2">
        <v>56.554332973919898</v>
      </c>
      <c r="AX80" s="4"/>
    </row>
    <row r="81" spans="1:50" x14ac:dyDescent="0.25">
      <c r="A81" t="s">
        <v>227</v>
      </c>
      <c r="B81">
        <v>80</v>
      </c>
      <c r="C81">
        <v>45</v>
      </c>
      <c r="D81">
        <v>127</v>
      </c>
      <c r="E81" s="449"/>
      <c r="F81">
        <v>255</v>
      </c>
      <c r="G81">
        <v>200</v>
      </c>
      <c r="H81">
        <v>46</v>
      </c>
      <c r="I81" s="155"/>
      <c r="J81">
        <v>0</v>
      </c>
      <c r="K81">
        <v>0</v>
      </c>
      <c r="L81">
        <v>0</v>
      </c>
      <c r="M81" s="4"/>
      <c r="Q81" s="4"/>
      <c r="U81" s="4"/>
      <c r="Y81" s="4"/>
      <c r="Z81">
        <f t="shared" si="12"/>
        <v>127.5</v>
      </c>
      <c r="AA81">
        <f t="shared" si="13"/>
        <v>0</v>
      </c>
      <c r="AB81">
        <f t="shared" si="14"/>
        <v>127.5</v>
      </c>
      <c r="AC81" s="30"/>
      <c r="AD81">
        <f t="shared" si="15"/>
        <v>255</v>
      </c>
      <c r="AE81">
        <f t="shared" si="16"/>
        <v>255</v>
      </c>
      <c r="AF81">
        <f t="shared" si="17"/>
        <v>0</v>
      </c>
      <c r="AG81" s="9"/>
      <c r="AH81">
        <f t="shared" si="18"/>
        <v>0</v>
      </c>
      <c r="AI81">
        <f t="shared" si="19"/>
        <v>0</v>
      </c>
      <c r="AJ81">
        <f t="shared" si="20"/>
        <v>0</v>
      </c>
      <c r="AK81" s="4"/>
      <c r="AL81">
        <f>SQRT((2+(($AL$3+Table4[[#This Row],[Red]])/2)/256)*($AL$3-Table4[[#This Row],[Red]])^2 + 4*($AM$3-Table4[[#This Row],[Green]])^2 + (2+(255-(($AL$3+Table4[[#This Row],[Red]])/2))/256 )*($AN$3-Table4[[#This Row],[Blue]])^2)</f>
        <v>470.59396893048893</v>
      </c>
      <c r="AM81">
        <f>SQRT((2+(($AO$3+Table4[[#This Row],[Red2]])/2)/256)*($AO$3-Table4[[#This Row],[Red2]])^2 + 4*($AP$3-Table4[[#This Row],[Green2]])^2 + (2+(255-(($AO$3+Table4[[#This Row],[Red2]])/2))/256 )*($AQ$3-Table4[[#This Row],[Blue2]])^2)</f>
        <v>572.4695321450522</v>
      </c>
      <c r="AN81">
        <f>SQRT(Table4[[#This Row],[diffPrimary]]^2+Table4[[#This Row],[diffSecondary]]^2)</f>
        <v>741.06683155308258</v>
      </c>
      <c r="AO81" s="2">
        <f>SQRT((2+(($AL$3+Table4[[#This Row],[Red2]])/2)/256)*($AL$3-Table4[[#This Row],[Red2]])^2 + 4*($AM$3-Table4[[#This Row],[Green2]])^2 + (2+(255-(($AL$3+Table4[[#This Row],[Red2]])/2))/256 )*($AN$3-Table4[[#This Row],[Blue2]])^2)</f>
        <v>65.817930687617334</v>
      </c>
      <c r="AP81" s="2">
        <f>SQRT((2+(($AO$3+Table4[[#This Row],[Red]])/2)/256)*($AO$3-Table4[[#This Row],[Red]])^2 + 4*($AP$3-Table4[[#This Row],[Green]])^2 + (2+(255-(($AO$3+Table4[[#This Row],[Red]])/2))/256 )*($AQ$3-Table4[[#This Row],[Blue]])^2)</f>
        <v>260.19961537971187</v>
      </c>
      <c r="AQ81" s="2">
        <f>SQRT(Table4[[#This Row],[diffPrimary2]]^2+Table4[[#This Row],[diffSecondary2]]^2)</f>
        <v>268.39493259700339</v>
      </c>
      <c r="AR81" s="786">
        <f>MIN(Table4[[#This Row],[MinOrig]],Table4[[#This Row],[MinSwap]])</f>
        <v>268.39493259700339</v>
      </c>
      <c r="AS81" s="2">
        <v>23.691704771923899</v>
      </c>
      <c r="AX81" s="4"/>
    </row>
    <row r="82" spans="1:50" x14ac:dyDescent="0.25">
      <c r="A82" t="s">
        <v>178</v>
      </c>
      <c r="B82">
        <v>0</v>
      </c>
      <c r="C82">
        <v>32</v>
      </c>
      <c r="D82">
        <v>91</v>
      </c>
      <c r="E82" s="98"/>
      <c r="F82">
        <v>185</v>
      </c>
      <c r="G82">
        <v>151</v>
      </c>
      <c r="H82">
        <v>91</v>
      </c>
      <c r="I82" s="162"/>
      <c r="M82" s="4"/>
      <c r="Q82" s="4"/>
      <c r="U82" s="4"/>
      <c r="Y82" s="4"/>
      <c r="Z82">
        <f t="shared" si="12"/>
        <v>0</v>
      </c>
      <c r="AA82">
        <f t="shared" si="13"/>
        <v>0</v>
      </c>
      <c r="AB82">
        <f t="shared" si="14"/>
        <v>127.5</v>
      </c>
      <c r="AC82" s="26"/>
      <c r="AD82">
        <f t="shared" si="15"/>
        <v>127.5</v>
      </c>
      <c r="AE82">
        <f t="shared" si="16"/>
        <v>127.5</v>
      </c>
      <c r="AF82">
        <f t="shared" si="17"/>
        <v>127.5</v>
      </c>
      <c r="AG82" s="32"/>
      <c r="AH82">
        <f t="shared" si="18"/>
        <v>0</v>
      </c>
      <c r="AI82">
        <f t="shared" si="19"/>
        <v>0</v>
      </c>
      <c r="AJ82">
        <f t="shared" si="20"/>
        <v>0</v>
      </c>
      <c r="AK82" s="4"/>
      <c r="AL82">
        <f>SQRT((2+(($AL$3+Table4[[#This Row],[Red]])/2)/256)*($AL$3-Table4[[#This Row],[Red]])^2 + 4*($AM$3-Table4[[#This Row],[Green]])^2 + (2+(255-(($AL$3+Table4[[#This Row],[Red]])/2))/256 )*($AN$3-Table4[[#This Row],[Blue]])^2)</f>
        <v>550.3070272300273</v>
      </c>
      <c r="AM82">
        <f>SQRT((2+(($AO$3+Table4[[#This Row],[Red2]])/2)/256)*($AO$3-Table4[[#This Row],[Red2]])^2 + 4*($AP$3-Table4[[#This Row],[Green2]])^2 + (2+(255-(($AO$3+Table4[[#This Row],[Red2]])/2))/256 )*($AQ$3-Table4[[#This Row],[Blue2]])^2)</f>
        <v>440.27144947038073</v>
      </c>
      <c r="AN82">
        <f>SQRT(Table4[[#This Row],[diffPrimary]]^2+Table4[[#This Row],[diffSecondary]]^2)</f>
        <v>704.75298753357549</v>
      </c>
      <c r="AO82" s="2">
        <f>SQRT((2+(($AL$3+Table4[[#This Row],[Red2]])/2)/256)*($AL$3-Table4[[#This Row],[Red2]])^2 + 4*($AM$3-Table4[[#This Row],[Green2]])^2 + (2+(255-(($AL$3+Table4[[#This Row],[Red2]])/2))/256 )*($AN$3-Table4[[#This Row],[Blue2]])^2)</f>
        <v>208.25250411159527</v>
      </c>
      <c r="AP82" s="2">
        <f>SQRT((2+(($AO$3+Table4[[#This Row],[Red]])/2)/256)*($AO$3-Table4[[#This Row],[Red]])^2 + 4*($AP$3-Table4[[#This Row],[Green]])^2 + (2+(255-(($AO$3+Table4[[#This Row],[Red]])/2))/256 )*($AQ$3-Table4[[#This Row],[Blue]])^2)</f>
        <v>170.01956459110815</v>
      </c>
      <c r="AQ82" s="2">
        <f>SQRT(Table4[[#This Row],[diffPrimary2]]^2+Table4[[#This Row],[diffSecondary2]]^2)</f>
        <v>268.84151058290831</v>
      </c>
      <c r="AR82" s="786">
        <f>MIN(Table4[[#This Row],[MinOrig]],Table4[[#This Row],[MinSwap]])</f>
        <v>268.84151058290831</v>
      </c>
      <c r="AS82" s="2">
        <v>38.540157628115601</v>
      </c>
      <c r="AX82" s="4"/>
    </row>
    <row r="83" spans="1:50" x14ac:dyDescent="0.25">
      <c r="A83" t="s">
        <v>2</v>
      </c>
      <c r="B83">
        <v>4</v>
      </c>
      <c r="C83">
        <v>30</v>
      </c>
      <c r="D83">
        <v>66</v>
      </c>
      <c r="E83" s="69"/>
      <c r="F83">
        <v>168</v>
      </c>
      <c r="G83">
        <v>153</v>
      </c>
      <c r="H83">
        <v>104</v>
      </c>
      <c r="I83" s="70"/>
      <c r="J83">
        <v>255</v>
      </c>
      <c r="K83">
        <v>255</v>
      </c>
      <c r="L83">
        <v>255</v>
      </c>
      <c r="M83" s="3"/>
      <c r="Q83" s="4"/>
      <c r="U83" s="4"/>
      <c r="Y83" s="4"/>
      <c r="Z83">
        <f t="shared" si="12"/>
        <v>0</v>
      </c>
      <c r="AA83">
        <f t="shared" si="13"/>
        <v>0</v>
      </c>
      <c r="AB83">
        <f t="shared" si="14"/>
        <v>127.5</v>
      </c>
      <c r="AC83" s="26"/>
      <c r="AD83">
        <f t="shared" si="15"/>
        <v>127.5</v>
      </c>
      <c r="AE83">
        <f t="shared" si="16"/>
        <v>127.5</v>
      </c>
      <c r="AF83">
        <f t="shared" si="17"/>
        <v>127.5</v>
      </c>
      <c r="AG83" s="32"/>
      <c r="AH83">
        <f t="shared" si="18"/>
        <v>255</v>
      </c>
      <c r="AI83">
        <f t="shared" si="19"/>
        <v>255</v>
      </c>
      <c r="AJ83">
        <f t="shared" si="20"/>
        <v>255</v>
      </c>
      <c r="AK83" s="3"/>
      <c r="AL83">
        <f>SQRT((2+(($AL$3+Table4[[#This Row],[Red]])/2)/256)*($AL$3-Table4[[#This Row],[Red]])^2 + 4*($AM$3-Table4[[#This Row],[Green]])^2 + (2+(255-(($AL$3+Table4[[#This Row],[Red]])/2))/256 )*($AN$3-Table4[[#This Row],[Blue]])^2)</f>
        <v>539.64720644313081</v>
      </c>
      <c r="AM83">
        <f>SQRT((2+(($AO$3+Table4[[#This Row],[Red2]])/2)/256)*($AO$3-Table4[[#This Row],[Red2]])^2 + 4*($AP$3-Table4[[#This Row],[Green2]])^2 + (2+(255-(($AO$3+Table4[[#This Row],[Red2]])/2))/256 )*($AQ$3-Table4[[#This Row],[Blue2]])^2)</f>
        <v>433.82225622943781</v>
      </c>
      <c r="AN83">
        <f>SQRT(Table4[[#This Row],[diffPrimary]]^2+Table4[[#This Row],[diffSecondary]]^2)</f>
        <v>692.40223672506647</v>
      </c>
      <c r="AO83" s="2">
        <f>SQRT((2+(($AL$3+Table4[[#This Row],[Red2]])/2)/256)*($AL$3-Table4[[#This Row],[Red2]])^2 + 4*($AM$3-Table4[[#This Row],[Green2]])^2 + (2+(255-(($AL$3+Table4[[#This Row],[Red2]])/2))/256 )*($AN$3-Table4[[#This Row],[Blue2]])^2)</f>
        <v>235.96010239418655</v>
      </c>
      <c r="AP83" s="2">
        <f>SQRT((2+(($AO$3+Table4[[#This Row],[Red]])/2)/256)*($AO$3-Table4[[#This Row],[Red]])^2 + 4*($AP$3-Table4[[#This Row],[Green]])^2 + (2+(255-(($AO$3+Table4[[#This Row],[Red]])/2))/256 )*($AQ$3-Table4[[#This Row],[Blue]])^2)</f>
        <v>129.03130676312628</v>
      </c>
      <c r="AQ83" s="2">
        <f>SQRT(Table4[[#This Row],[diffPrimary2]]^2+Table4[[#This Row],[diffSecondary2]]^2)</f>
        <v>268.93539753419407</v>
      </c>
      <c r="AR83" s="786">
        <f>MIN(Table4[[#This Row],[MinOrig]],Table4[[#This Row],[MinSwap]])</f>
        <v>268.93539753419407</v>
      </c>
      <c r="AS83" s="2">
        <v>39.939064914566998</v>
      </c>
      <c r="AX83" s="4"/>
    </row>
    <row r="84" spans="1:50" x14ac:dyDescent="0.25">
      <c r="A84" t="s">
        <v>86</v>
      </c>
      <c r="B84">
        <v>238</v>
      </c>
      <c r="C84">
        <v>118</v>
      </c>
      <c r="D84">
        <v>36</v>
      </c>
      <c r="E84" s="240"/>
      <c r="F84">
        <v>27</v>
      </c>
      <c r="G84">
        <v>86</v>
      </c>
      <c r="H84">
        <v>51</v>
      </c>
      <c r="I84" s="241"/>
      <c r="J84">
        <v>14</v>
      </c>
      <c r="K84">
        <v>12</v>
      </c>
      <c r="L84">
        <v>13</v>
      </c>
      <c r="M84" s="242"/>
      <c r="N84">
        <v>0</v>
      </c>
      <c r="O84">
        <v>0</v>
      </c>
      <c r="P84">
        <v>0</v>
      </c>
      <c r="Q84" s="4"/>
      <c r="U84" s="4"/>
      <c r="Y84" s="4"/>
      <c r="Z84">
        <f t="shared" si="12"/>
        <v>255</v>
      </c>
      <c r="AA84">
        <f t="shared" si="13"/>
        <v>127.5</v>
      </c>
      <c r="AB84">
        <f t="shared" si="14"/>
        <v>0</v>
      </c>
      <c r="AC84" s="28"/>
      <c r="AD84">
        <f t="shared" si="15"/>
        <v>0</v>
      </c>
      <c r="AE84">
        <f t="shared" si="16"/>
        <v>127.5</v>
      </c>
      <c r="AF84">
        <f t="shared" si="17"/>
        <v>0</v>
      </c>
      <c r="AG84" s="34"/>
      <c r="AH84">
        <f t="shared" si="18"/>
        <v>0</v>
      </c>
      <c r="AI84">
        <f t="shared" si="19"/>
        <v>0</v>
      </c>
      <c r="AJ84">
        <f t="shared" si="20"/>
        <v>0</v>
      </c>
      <c r="AK84" s="4"/>
      <c r="AL84">
        <f>SQRT((2+(($AL$3+Table4[[#This Row],[Red]])/2)/256)*($AL$3-Table4[[#This Row],[Red]])^2 + 4*($AM$3-Table4[[#This Row],[Green]])^2 + (2+(255-(($AL$3+Table4[[#This Row],[Red]])/2))/256 )*($AN$3-Table4[[#This Row],[Blue]])^2)</f>
        <v>183.75882738150295</v>
      </c>
      <c r="AM84">
        <f>SQRT((2+(($AO$3+Table4[[#This Row],[Red2]])/2)/256)*($AO$3-Table4[[#This Row],[Red2]])^2 + 4*($AP$3-Table4[[#This Row],[Green2]])^2 + (2+(255-(($AO$3+Table4[[#This Row],[Red2]])/2))/256 )*($AQ$3-Table4[[#This Row],[Blue2]])^2)</f>
        <v>196.81494123605046</v>
      </c>
      <c r="AN84">
        <f>SQRT(Table4[[#This Row],[diffPrimary]]^2+Table4[[#This Row],[diffSecondary]]^2)</f>
        <v>269.26460542443192</v>
      </c>
      <c r="AO84" s="2">
        <f>SQRT((2+(($AL$3+Table4[[#This Row],[Red2]])/2)/256)*($AL$3-Table4[[#This Row],[Red2]])^2 + 4*($AM$3-Table4[[#This Row],[Green2]])^2 + (2+(255-(($AL$3+Table4[[#This Row],[Red2]])/2))/256 )*($AN$3-Table4[[#This Row],[Blue2]])^2)</f>
        <v>442.27148937332601</v>
      </c>
      <c r="AP84" s="2">
        <f>SQRT((2+(($AO$3+Table4[[#This Row],[Red]])/2)/256)*($AO$3-Table4[[#This Row],[Red]])^2 + 4*($AP$3-Table4[[#This Row],[Green]])^2 + (2+(255-(($AO$3+Table4[[#This Row],[Red]])/2))/256 )*($AQ$3-Table4[[#This Row],[Blue]])^2)</f>
        <v>445.64011194572691</v>
      </c>
      <c r="AQ84" s="2">
        <f>SQRT(Table4[[#This Row],[diffPrimary2]]^2+Table4[[#This Row],[diffSecondary2]]^2)</f>
        <v>627.8528328258941</v>
      </c>
      <c r="AR84" s="786">
        <f>MIN(Table4[[#This Row],[MinOrig]],Table4[[#This Row],[MinSwap]])</f>
        <v>269.26460542443192</v>
      </c>
      <c r="AS84" s="2">
        <v>42.7471216136245</v>
      </c>
      <c r="AX84" s="4"/>
    </row>
    <row r="85" spans="1:50" x14ac:dyDescent="0.25">
      <c r="A85" t="s">
        <v>292</v>
      </c>
      <c r="B85">
        <v>241</v>
      </c>
      <c r="C85">
        <v>90</v>
      </c>
      <c r="D85">
        <v>34</v>
      </c>
      <c r="E85" s="587"/>
      <c r="F85">
        <v>12</v>
      </c>
      <c r="G85">
        <v>35</v>
      </c>
      <c r="H85">
        <v>64</v>
      </c>
      <c r="I85" s="90"/>
      <c r="M85" s="4"/>
      <c r="Q85" s="4"/>
      <c r="U85" s="4"/>
      <c r="Y85" s="4"/>
      <c r="Z85">
        <f t="shared" si="12"/>
        <v>255</v>
      </c>
      <c r="AA85">
        <f t="shared" si="13"/>
        <v>127.5</v>
      </c>
      <c r="AB85">
        <f t="shared" si="14"/>
        <v>0</v>
      </c>
      <c r="AC85" s="28"/>
      <c r="AD85">
        <f t="shared" si="15"/>
        <v>0</v>
      </c>
      <c r="AE85">
        <f t="shared" si="16"/>
        <v>0</v>
      </c>
      <c r="AF85">
        <f t="shared" si="17"/>
        <v>127.5</v>
      </c>
      <c r="AG85" s="26"/>
      <c r="AH85">
        <f t="shared" si="18"/>
        <v>0</v>
      </c>
      <c r="AI85">
        <f t="shared" si="19"/>
        <v>0</v>
      </c>
      <c r="AJ85">
        <f t="shared" si="20"/>
        <v>0</v>
      </c>
      <c r="AK85" s="4"/>
      <c r="AL85">
        <f>SQRT((2+(($AL$3+Table4[[#This Row],[Red]])/2)/256)*($AL$3-Table4[[#This Row],[Red]])^2 + 4*($AM$3-Table4[[#This Row],[Green]])^2 + (2+(255-(($AL$3+Table4[[#This Row],[Red]])/2))/256 )*($AN$3-Table4[[#This Row],[Blue]])^2)</f>
        <v>236.27417204383556</v>
      </c>
      <c r="AM85">
        <f>SQRT((2+(($AO$3+Table4[[#This Row],[Red2]])/2)/256)*($AO$3-Table4[[#This Row],[Red2]])^2 + 4*($AP$3-Table4[[#This Row],[Green2]])^2 + (2+(255-(($AO$3+Table4[[#This Row],[Red2]])/2))/256 )*($AQ$3-Table4[[#This Row],[Blue2]])^2)</f>
        <v>131.78533681711332</v>
      </c>
      <c r="AN85">
        <f>SQRT(Table4[[#This Row],[diffPrimary]]^2+Table4[[#This Row],[diffSecondary]]^2)</f>
        <v>270.54178859281615</v>
      </c>
      <c r="AO85" s="2">
        <f>SQRT((2+(($AL$3+Table4[[#This Row],[Red2]])/2)/256)*($AL$3-Table4[[#This Row],[Red2]])^2 + 4*($AM$3-Table4[[#This Row],[Green2]])^2 + (2+(255-(($AL$3+Table4[[#This Row],[Red2]])/2))/256 )*($AN$3-Table4[[#This Row],[Blue2]])^2)</f>
        <v>524.04878671682377</v>
      </c>
      <c r="AP85" s="2">
        <f>SQRT((2+(($AO$3+Table4[[#This Row],[Red]])/2)/256)*($AO$3-Table4[[#This Row],[Red]])^2 + 4*($AP$3-Table4[[#This Row],[Green]])^2 + (2+(255-(($AO$3+Table4[[#This Row],[Red]])/2))/256 )*($AQ$3-Table4[[#This Row],[Blue]])^2)</f>
        <v>422.87144590954</v>
      </c>
      <c r="AQ85" s="2">
        <f>SQRT(Table4[[#This Row],[diffPrimary2]]^2+Table4[[#This Row],[diffSecondary2]]^2)</f>
        <v>673.38502405755958</v>
      </c>
      <c r="AR85" s="786">
        <f>MIN(Table4[[#This Row],[MinOrig]],Table4[[#This Row],[MinSwap]])</f>
        <v>270.54178859281615</v>
      </c>
      <c r="AS85" s="2">
        <v>43.735622637616601</v>
      </c>
      <c r="AX85" s="4"/>
    </row>
    <row r="86" spans="1:50" x14ac:dyDescent="0.25">
      <c r="A86" t="s">
        <v>96</v>
      </c>
      <c r="B86">
        <v>226</v>
      </c>
      <c r="C86">
        <v>203</v>
      </c>
      <c r="D86">
        <v>146</v>
      </c>
      <c r="E86" s="257"/>
      <c r="F86">
        <v>0</v>
      </c>
      <c r="G86">
        <v>38</v>
      </c>
      <c r="H86">
        <v>84</v>
      </c>
      <c r="I86" s="258"/>
      <c r="M86" s="4"/>
      <c r="Q86" s="4"/>
      <c r="U86" s="4"/>
      <c r="Y86" s="4"/>
      <c r="Z86">
        <f t="shared" si="12"/>
        <v>255</v>
      </c>
      <c r="AA86">
        <f t="shared" si="13"/>
        <v>255</v>
      </c>
      <c r="AB86">
        <f t="shared" si="14"/>
        <v>127.5</v>
      </c>
      <c r="AC86" s="29"/>
      <c r="AD86">
        <f t="shared" si="15"/>
        <v>0</v>
      </c>
      <c r="AE86">
        <f t="shared" si="16"/>
        <v>0</v>
      </c>
      <c r="AF86">
        <f t="shared" si="17"/>
        <v>127.5</v>
      </c>
      <c r="AG86" s="26"/>
      <c r="AH86">
        <f t="shared" si="18"/>
        <v>0</v>
      </c>
      <c r="AI86">
        <f t="shared" si="19"/>
        <v>0</v>
      </c>
      <c r="AJ86">
        <f t="shared" si="20"/>
        <v>0</v>
      </c>
      <c r="AK86" s="4"/>
      <c r="AL86">
        <f>SQRT((2+(($AL$3+Table4[[#This Row],[Red]])/2)/256)*($AL$3-Table4[[#This Row],[Red]])^2 + 4*($AM$3-Table4[[#This Row],[Green]])^2 + (2+(255-(($AL$3+Table4[[#This Row],[Red]])/2))/256 )*($AN$3-Table4[[#This Row],[Blue]])^2)</f>
        <v>215.2380812974902</v>
      </c>
      <c r="AM86">
        <f>SQRT((2+(($AO$3+Table4[[#This Row],[Red2]])/2)/256)*($AO$3-Table4[[#This Row],[Red2]])^2 + 4*($AP$3-Table4[[#This Row],[Green2]])^2 + (2+(255-(($AO$3+Table4[[#This Row],[Red2]])/2))/256 )*($AQ$3-Table4[[#This Row],[Blue2]])^2)</f>
        <v>164.0622976189228</v>
      </c>
      <c r="AN86">
        <f>SQRT(Table4[[#This Row],[diffPrimary]]^2+Table4[[#This Row],[diffSecondary]]^2)</f>
        <v>270.63604553093995</v>
      </c>
      <c r="AO86" s="2">
        <f>SQRT((2+(($AL$3+Table4[[#This Row],[Red2]])/2)/256)*($AL$3-Table4[[#This Row],[Red2]])^2 + 4*($AM$3-Table4[[#This Row],[Green2]])^2 + (2+(255-(($AL$3+Table4[[#This Row],[Red2]])/2))/256 )*($AN$3-Table4[[#This Row],[Blue2]])^2)</f>
        <v>540.01640419238652</v>
      </c>
      <c r="AP86" s="2">
        <f>SQRT((2+(($AO$3+Table4[[#This Row],[Red]])/2)/256)*($AO$3-Table4[[#This Row],[Red]])^2 + 4*($AP$3-Table4[[#This Row],[Green]])^2 + (2+(255-(($AO$3+Table4[[#This Row],[Red]])/2))/256 )*($AQ$3-Table4[[#This Row],[Blue]])^2)</f>
        <v>586.5057411270584</v>
      </c>
      <c r="AQ86" s="2">
        <f>SQRT(Table4[[#This Row],[diffPrimary2]]^2+Table4[[#This Row],[diffSecondary2]]^2)</f>
        <v>797.24945981284611</v>
      </c>
      <c r="AR86" s="786">
        <f>MIN(Table4[[#This Row],[MinOrig]],Table4[[#This Row],[MinSwap]])</f>
        <v>270.63604553093995</v>
      </c>
      <c r="AS86" s="2">
        <v>68.962682390550896</v>
      </c>
      <c r="AX86" s="4"/>
    </row>
    <row r="87" spans="1:50" x14ac:dyDescent="0.25">
      <c r="A87" t="s">
        <v>321</v>
      </c>
      <c r="B87">
        <v>167</v>
      </c>
      <c r="C87">
        <v>31</v>
      </c>
      <c r="D87">
        <v>35</v>
      </c>
      <c r="E87" s="553"/>
      <c r="F87">
        <v>255</v>
      </c>
      <c r="G87">
        <v>214</v>
      </c>
      <c r="H87">
        <v>27</v>
      </c>
      <c r="I87" s="554"/>
      <c r="J87">
        <v>0</v>
      </c>
      <c r="K87">
        <v>0</v>
      </c>
      <c r="L87">
        <v>0</v>
      </c>
      <c r="M87" s="4"/>
      <c r="N87">
        <v>102</v>
      </c>
      <c r="O87">
        <v>103</v>
      </c>
      <c r="P87">
        <v>102</v>
      </c>
      <c r="Q87" s="555"/>
      <c r="U87" s="4"/>
      <c r="Y87" s="4"/>
      <c r="Z87">
        <f t="shared" si="12"/>
        <v>127.5</v>
      </c>
      <c r="AA87">
        <f t="shared" si="13"/>
        <v>0</v>
      </c>
      <c r="AB87">
        <f t="shared" si="14"/>
        <v>0</v>
      </c>
      <c r="AC87" s="27"/>
      <c r="AD87">
        <f t="shared" si="15"/>
        <v>255</v>
      </c>
      <c r="AE87">
        <f t="shared" si="16"/>
        <v>255</v>
      </c>
      <c r="AF87">
        <f t="shared" si="17"/>
        <v>0</v>
      </c>
      <c r="AG87" s="9"/>
      <c r="AH87">
        <f t="shared" si="18"/>
        <v>0</v>
      </c>
      <c r="AI87">
        <f t="shared" si="19"/>
        <v>0</v>
      </c>
      <c r="AJ87">
        <f t="shared" si="20"/>
        <v>0</v>
      </c>
      <c r="AK87" s="4"/>
      <c r="AL87">
        <f>SQRT((2+(($AL$3+Table4[[#This Row],[Red]])/2)/256)*($AL$3-Table4[[#This Row],[Red]])^2 + 4*($AM$3-Table4[[#This Row],[Green]])^2 + (2+(255-(($AL$3+Table4[[#This Row],[Red]])/2))/256 )*($AN$3-Table4[[#This Row],[Blue]])^2)</f>
        <v>381.62192923756362</v>
      </c>
      <c r="AM87">
        <f>SQRT((2+(($AO$3+Table4[[#This Row],[Red2]])/2)/256)*($AO$3-Table4[[#This Row],[Red2]])^2 + 4*($AP$3-Table4[[#This Row],[Green2]])^2 + (2+(255-(($AO$3+Table4[[#This Row],[Red2]])/2))/256 )*($AQ$3-Table4[[#This Row],[Blue2]])^2)</f>
        <v>589.4408996826993</v>
      </c>
      <c r="AN87">
        <f>SQRT(Table4[[#This Row],[diffPrimary]]^2+Table4[[#This Row],[diffSecondary]]^2)</f>
        <v>702.19361368055036</v>
      </c>
      <c r="AO87" s="2">
        <f>SQRT((2+(($AL$3+Table4[[#This Row],[Red2]])/2)/256)*($AL$3-Table4[[#This Row],[Red2]])^2 + 4*($AM$3-Table4[[#This Row],[Green2]])^2 + (2+(255-(($AL$3+Table4[[#This Row],[Red2]])/2))/256 )*($AN$3-Table4[[#This Row],[Blue2]])^2)</f>
        <v>42.213741838410868</v>
      </c>
      <c r="AP87" s="2">
        <f>SQRT((2+(($AO$3+Table4[[#This Row],[Red]])/2)/256)*($AO$3-Table4[[#This Row],[Red]])^2 + 4*($AP$3-Table4[[#This Row],[Green]])^2 + (2+(255-(($AO$3+Table4[[#This Row],[Red]])/2))/256 )*($AQ$3-Table4[[#This Row],[Blue]])^2)</f>
        <v>268.3081469481499</v>
      </c>
      <c r="AQ87" s="2">
        <f>SQRT(Table4[[#This Row],[diffPrimary2]]^2+Table4[[#This Row],[diffSecondary2]]^2)</f>
        <v>271.60865545624648</v>
      </c>
      <c r="AR87" s="786">
        <f>MIN(Table4[[#This Row],[MinOrig]],Table4[[#This Row],[MinSwap]])</f>
        <v>271.60865545624648</v>
      </c>
      <c r="AS87" s="2">
        <v>45.9975797597004</v>
      </c>
      <c r="AX87" s="4"/>
    </row>
    <row r="88" spans="1:50" x14ac:dyDescent="0.25">
      <c r="A88" t="s">
        <v>299</v>
      </c>
      <c r="B88">
        <v>0</v>
      </c>
      <c r="C88">
        <v>40</v>
      </c>
      <c r="D88">
        <v>85</v>
      </c>
      <c r="E88" s="160"/>
      <c r="F88">
        <v>179</v>
      </c>
      <c r="G88">
        <v>163</v>
      </c>
      <c r="H88">
        <v>105</v>
      </c>
      <c r="I88" s="265"/>
      <c r="M88" s="4"/>
      <c r="Q88" s="4"/>
      <c r="U88" s="4"/>
      <c r="Y88" s="4"/>
      <c r="Z88">
        <f t="shared" si="12"/>
        <v>0</v>
      </c>
      <c r="AA88">
        <f t="shared" si="13"/>
        <v>0</v>
      </c>
      <c r="AB88">
        <f t="shared" si="14"/>
        <v>127.5</v>
      </c>
      <c r="AC88" s="26"/>
      <c r="AD88">
        <f t="shared" si="15"/>
        <v>127.5</v>
      </c>
      <c r="AE88">
        <f t="shared" si="16"/>
        <v>127.5</v>
      </c>
      <c r="AF88">
        <f t="shared" si="17"/>
        <v>127.5</v>
      </c>
      <c r="AG88" s="32"/>
      <c r="AH88">
        <f t="shared" si="18"/>
        <v>0</v>
      </c>
      <c r="AI88">
        <f t="shared" si="19"/>
        <v>0</v>
      </c>
      <c r="AJ88">
        <f t="shared" si="20"/>
        <v>0</v>
      </c>
      <c r="AK88" s="4"/>
      <c r="AL88">
        <f>SQRT((2+(($AL$3+Table4[[#This Row],[Red]])/2)/256)*($AL$3-Table4[[#This Row],[Red]])^2 + 4*($AM$3-Table4[[#This Row],[Green]])^2 + (2+(255-(($AL$3+Table4[[#This Row],[Red]])/2))/256 )*($AN$3-Table4[[#This Row],[Blue]])^2)</f>
        <v>537.94412973723399</v>
      </c>
      <c r="AM88">
        <f>SQRT((2+(($AO$3+Table4[[#This Row],[Red2]])/2)/256)*($AO$3-Table4[[#This Row],[Red2]])^2 + 4*($AP$3-Table4[[#This Row],[Green2]])^2 + (2+(255-(($AO$3+Table4[[#This Row],[Red2]])/2))/256 )*($AQ$3-Table4[[#This Row],[Blue2]])^2)</f>
        <v>459.06135125792281</v>
      </c>
      <c r="AN88">
        <f>SQRT(Table4[[#This Row],[diffPrimary]]^2+Table4[[#This Row],[diffSecondary]]^2)</f>
        <v>707.19248506859856</v>
      </c>
      <c r="AO88" s="2">
        <f>SQRT((2+(($AL$3+Table4[[#This Row],[Red2]])/2)/256)*($AL$3-Table4[[#This Row],[Red2]])^2 + 4*($AM$3-Table4[[#This Row],[Green2]])^2 + (2+(255-(($AL$3+Table4[[#This Row],[Red2]])/2))/256 )*($AN$3-Table4[[#This Row],[Blue2]])^2)</f>
        <v>217.23394287610765</v>
      </c>
      <c r="AP88" s="2">
        <f>SQRT((2+(($AO$3+Table4[[#This Row],[Red]])/2)/256)*($AO$3-Table4[[#This Row],[Red]])^2 + 4*($AP$3-Table4[[#This Row],[Green]])^2 + (2+(255-(($AO$3+Table4[[#This Row],[Red]])/2))/256 )*($AQ$3-Table4[[#This Row],[Blue]])^2)</f>
        <v>167.47172102701398</v>
      </c>
      <c r="AQ88" s="2">
        <f>SQRT(Table4[[#This Row],[diffPrimary2]]^2+Table4[[#This Row],[diffSecondary2]]^2)</f>
        <v>274.29430048991173</v>
      </c>
      <c r="AR88" s="786">
        <f>MIN(Table4[[#This Row],[MinOrig]],Table4[[#This Row],[MinSwap]])</f>
        <v>274.29430048991173</v>
      </c>
      <c r="AS88" s="2">
        <v>27.9636343086874</v>
      </c>
      <c r="AX88" s="4"/>
    </row>
    <row r="89" spans="1:50" x14ac:dyDescent="0.25">
      <c r="A89" t="s">
        <v>7</v>
      </c>
      <c r="B89">
        <v>206</v>
      </c>
      <c r="C89">
        <v>142</v>
      </c>
      <c r="D89">
        <v>0</v>
      </c>
      <c r="E89" s="76"/>
      <c r="F89">
        <v>75</v>
      </c>
      <c r="G89">
        <v>48</v>
      </c>
      <c r="H89">
        <v>106</v>
      </c>
      <c r="I89" s="77"/>
      <c r="M89" s="4"/>
      <c r="Q89" s="4"/>
      <c r="U89" s="4"/>
      <c r="Y89" s="4"/>
      <c r="Z89">
        <f t="shared" si="12"/>
        <v>255</v>
      </c>
      <c r="AA89">
        <f t="shared" si="13"/>
        <v>127.5</v>
      </c>
      <c r="AB89">
        <f t="shared" si="14"/>
        <v>0</v>
      </c>
      <c r="AC89" s="28"/>
      <c r="AD89">
        <f t="shared" si="15"/>
        <v>127.5</v>
      </c>
      <c r="AE89">
        <f t="shared" si="16"/>
        <v>0</v>
      </c>
      <c r="AF89">
        <f t="shared" si="17"/>
        <v>127.5</v>
      </c>
      <c r="AG89" s="30"/>
      <c r="AH89">
        <f t="shared" si="18"/>
        <v>0</v>
      </c>
      <c r="AI89">
        <f t="shared" si="19"/>
        <v>0</v>
      </c>
      <c r="AJ89">
        <f t="shared" si="20"/>
        <v>0</v>
      </c>
      <c r="AK89" s="4"/>
      <c r="AL89">
        <f>SQRT((2+(($AL$3+Table4[[#This Row],[Red]])/2)/256)*($AL$3-Table4[[#This Row],[Red]])^2 + 4*($AM$3-Table4[[#This Row],[Green]])^2 + (2+(255-(($AL$3+Table4[[#This Row],[Red]])/2))/256 )*($AN$3-Table4[[#This Row],[Blue]])^2)</f>
        <v>151.12854757002398</v>
      </c>
      <c r="AM89">
        <f>SQRT((2+(($AO$3+Table4[[#This Row],[Red2]])/2)/256)*($AO$3-Table4[[#This Row],[Red2]])^2 + 4*($AP$3-Table4[[#This Row],[Green2]])^2 + (2+(255-(($AO$3+Table4[[#This Row],[Red2]])/2))/256 )*($AQ$3-Table4[[#This Row],[Blue2]])^2)</f>
        <v>230.88565470135862</v>
      </c>
      <c r="AN89">
        <f>SQRT(Table4[[#This Row],[diffPrimary]]^2+Table4[[#This Row],[diffSecondary]]^2)</f>
        <v>275.94931316729162</v>
      </c>
      <c r="AO89" s="2">
        <f>SQRT((2+(($AL$3+Table4[[#This Row],[Red2]])/2)/256)*($AL$3-Table4[[#This Row],[Red2]])^2 + 4*($AM$3-Table4[[#This Row],[Green2]])^2 + (2+(255-(($AL$3+Table4[[#This Row],[Red2]])/2))/256 )*($AN$3-Table4[[#This Row],[Blue2]])^2)</f>
        <v>459.02175193557002</v>
      </c>
      <c r="AP89" s="2">
        <f>SQRT((2+(($AO$3+Table4[[#This Row],[Red]])/2)/256)*($AO$3-Table4[[#This Row],[Red]])^2 + 4*($AP$3-Table4[[#This Row],[Green]])^2 + (2+(255-(($AO$3+Table4[[#This Row],[Red]])/2))/256 )*($AQ$3-Table4[[#This Row],[Blue]])^2)</f>
        <v>427.31938801673857</v>
      </c>
      <c r="AQ89" s="2">
        <f>SQRT(Table4[[#This Row],[diffPrimary2]]^2+Table4[[#This Row],[diffSecondary2]]^2)</f>
        <v>627.13860359971454</v>
      </c>
      <c r="AR89" s="786">
        <f>MIN(Table4[[#This Row],[MinOrig]],Table4[[#This Row],[MinSwap]])</f>
        <v>275.94931316729162</v>
      </c>
      <c r="AS89" s="2">
        <v>70.880566359898694</v>
      </c>
      <c r="AX89" s="4"/>
    </row>
    <row r="90" spans="1:50" x14ac:dyDescent="0.25">
      <c r="A90" t="s">
        <v>32</v>
      </c>
      <c r="B90">
        <v>232</v>
      </c>
      <c r="C90">
        <v>119</v>
      </c>
      <c r="D90">
        <v>34</v>
      </c>
      <c r="E90" s="91"/>
      <c r="F90">
        <v>0</v>
      </c>
      <c r="G90">
        <v>56</v>
      </c>
      <c r="H90">
        <v>101</v>
      </c>
      <c r="I90" s="125"/>
      <c r="J90">
        <v>255</v>
      </c>
      <c r="K90">
        <v>255</v>
      </c>
      <c r="L90">
        <v>255</v>
      </c>
      <c r="M90" s="3"/>
      <c r="Q90" s="4"/>
      <c r="U90" s="4"/>
      <c r="Y90" s="4"/>
      <c r="Z90">
        <f t="shared" si="12"/>
        <v>255</v>
      </c>
      <c r="AA90">
        <f t="shared" si="13"/>
        <v>127.5</v>
      </c>
      <c r="AB90">
        <f t="shared" si="14"/>
        <v>0</v>
      </c>
      <c r="AC90" s="28"/>
      <c r="AD90">
        <f t="shared" si="15"/>
        <v>0</v>
      </c>
      <c r="AE90">
        <f t="shared" si="16"/>
        <v>0</v>
      </c>
      <c r="AF90">
        <f t="shared" si="17"/>
        <v>127.5</v>
      </c>
      <c r="AG90" s="26"/>
      <c r="AH90">
        <f t="shared" si="18"/>
        <v>255</v>
      </c>
      <c r="AI90">
        <f t="shared" si="19"/>
        <v>255</v>
      </c>
      <c r="AJ90">
        <f t="shared" si="20"/>
        <v>255</v>
      </c>
      <c r="AK90" s="3"/>
      <c r="AL90">
        <f>SQRT((2+(($AL$3+Table4[[#This Row],[Red]])/2)/256)*($AL$3-Table4[[#This Row],[Red]])^2 + 4*($AM$3-Table4[[#This Row],[Green]])^2 + (2+(255-(($AL$3+Table4[[#This Row],[Red]])/2))/256 )*($AN$3-Table4[[#This Row],[Blue]])^2)</f>
        <v>183.0549087278869</v>
      </c>
      <c r="AM90">
        <f>SQRT((2+(($AO$3+Table4[[#This Row],[Red2]])/2)/256)*($AO$3-Table4[[#This Row],[Red2]])^2 + 4*($AP$3-Table4[[#This Row],[Green2]])^2 + (2+(255-(($AO$3+Table4[[#This Row],[Red2]])/2))/256 )*($AQ$3-Table4[[#This Row],[Blue2]])^2)</f>
        <v>207.62262001947187</v>
      </c>
      <c r="AN90">
        <f>SQRT(Table4[[#This Row],[diffPrimary]]^2+Table4[[#This Row],[diffSecondary]]^2)</f>
        <v>276.79640885156908</v>
      </c>
      <c r="AO90" s="2">
        <f>SQRT((2+(($AL$3+Table4[[#This Row],[Red2]])/2)/256)*($AL$3-Table4[[#This Row],[Red2]])^2 + 4*($AM$3-Table4[[#This Row],[Green2]])^2 + (2+(255-(($AL$3+Table4[[#This Row],[Red2]])/2))/256 )*($AN$3-Table4[[#This Row],[Blue2]])^2)</f>
        <v>526.04379496269132</v>
      </c>
      <c r="AP90" s="2">
        <f>SQRT((2+(($AO$3+Table4[[#This Row],[Red]])/2)/256)*($AO$3-Table4[[#This Row],[Red]])^2 + 4*($AP$3-Table4[[#This Row],[Green]])^2 + (2+(255-(($AO$3+Table4[[#This Row],[Red]])/2))/256 )*($AQ$3-Table4[[#This Row],[Blue]])^2)</f>
        <v>437.74498497983961</v>
      </c>
      <c r="AQ90" s="2">
        <f>SQRT(Table4[[#This Row],[diffPrimary2]]^2+Table4[[#This Row],[diffSecondary2]]^2)</f>
        <v>684.35571605251459</v>
      </c>
      <c r="AR90" s="786">
        <f>MIN(Table4[[#This Row],[MinOrig]],Table4[[#This Row],[MinSwap]])</f>
        <v>276.79640885156908</v>
      </c>
      <c r="AS90" s="2">
        <v>64.335151501725704</v>
      </c>
      <c r="AX90" s="4"/>
    </row>
    <row r="91" spans="1:50" x14ac:dyDescent="0.25">
      <c r="A91" t="s">
        <v>184</v>
      </c>
      <c r="B91">
        <v>0</v>
      </c>
      <c r="C91">
        <v>32</v>
      </c>
      <c r="D91">
        <v>91</v>
      </c>
      <c r="E91" s="98"/>
      <c r="F91">
        <v>197</v>
      </c>
      <c r="G91">
        <v>183</v>
      </c>
      <c r="H91">
        <v>131</v>
      </c>
      <c r="I91" s="158"/>
      <c r="M91" s="4"/>
      <c r="Q91" s="4"/>
      <c r="U91" s="4"/>
      <c r="Y91" s="4"/>
      <c r="Z91">
        <f t="shared" si="12"/>
        <v>0</v>
      </c>
      <c r="AA91">
        <f t="shared" si="13"/>
        <v>0</v>
      </c>
      <c r="AB91">
        <f t="shared" si="14"/>
        <v>127.5</v>
      </c>
      <c r="AC91" s="26"/>
      <c r="AD91">
        <f t="shared" si="15"/>
        <v>255</v>
      </c>
      <c r="AE91">
        <f t="shared" si="16"/>
        <v>127.5</v>
      </c>
      <c r="AF91">
        <f t="shared" si="17"/>
        <v>127.5</v>
      </c>
      <c r="AG91" s="25"/>
      <c r="AH91">
        <f t="shared" si="18"/>
        <v>0</v>
      </c>
      <c r="AI91">
        <f t="shared" si="19"/>
        <v>0</v>
      </c>
      <c r="AJ91">
        <f t="shared" si="20"/>
        <v>0</v>
      </c>
      <c r="AK91" s="4"/>
      <c r="AL91">
        <f>SQRT((2+(($AL$3+Table4[[#This Row],[Red]])/2)/256)*($AL$3-Table4[[#This Row],[Red]])^2 + 4*($AM$3-Table4[[#This Row],[Green]])^2 + (2+(255-(($AL$3+Table4[[#This Row],[Red]])/2))/256 )*($AN$3-Table4[[#This Row],[Blue]])^2)</f>
        <v>550.3070272300273</v>
      </c>
      <c r="AM91">
        <f>SQRT((2+(($AO$3+Table4[[#This Row],[Red2]])/2)/256)*($AO$3-Table4[[#This Row],[Red2]])^2 + 4*($AP$3-Table4[[#This Row],[Green2]])^2 + (2+(255-(($AO$3+Table4[[#This Row],[Red2]])/2))/256 )*($AQ$3-Table4[[#This Row],[Blue2]])^2)</f>
        <v>520.8832605236513</v>
      </c>
      <c r="AN91">
        <f>SQRT(Table4[[#This Row],[diffPrimary]]^2+Table4[[#This Row],[diffSecondary]]^2)</f>
        <v>757.73161166240118</v>
      </c>
      <c r="AO91" s="2">
        <f>SQRT((2+(($AL$3+Table4[[#This Row],[Red2]])/2)/256)*($AL$3-Table4[[#This Row],[Red2]])^2 + 4*($AM$3-Table4[[#This Row],[Green2]])^2 + (2+(255-(($AL$3+Table4[[#This Row],[Red2]])/2))/256 )*($AN$3-Table4[[#This Row],[Blue2]])^2)</f>
        <v>218.86023115506848</v>
      </c>
      <c r="AP91" s="2">
        <f>SQRT((2+(($AO$3+Table4[[#This Row],[Red]])/2)/256)*($AO$3-Table4[[#This Row],[Red]])^2 + 4*($AP$3-Table4[[#This Row],[Green]])^2 + (2+(255-(($AO$3+Table4[[#This Row],[Red]])/2))/256 )*($AQ$3-Table4[[#This Row],[Blue]])^2)</f>
        <v>170.01956459110815</v>
      </c>
      <c r="AQ91" s="2">
        <f>SQRT(Table4[[#This Row],[diffPrimary2]]^2+Table4[[#This Row],[diffSecondary2]]^2)</f>
        <v>277.13977182100729</v>
      </c>
      <c r="AR91" s="786">
        <f>MIN(Table4[[#This Row],[MinOrig]],Table4[[#This Row],[MinSwap]])</f>
        <v>277.13977182100729</v>
      </c>
      <c r="AS91" s="2">
        <v>31.730616622593399</v>
      </c>
      <c r="AX91" s="4"/>
    </row>
    <row r="92" spans="1:50" x14ac:dyDescent="0.25">
      <c r="A92" t="s">
        <v>298</v>
      </c>
      <c r="B92">
        <v>0</v>
      </c>
      <c r="C92">
        <v>99</v>
      </c>
      <c r="D92">
        <v>65</v>
      </c>
      <c r="E92" s="491"/>
      <c r="F92">
        <v>204</v>
      </c>
      <c r="G92">
        <v>138</v>
      </c>
      <c r="H92">
        <v>0</v>
      </c>
      <c r="I92" s="588"/>
      <c r="J92">
        <v>0</v>
      </c>
      <c r="K92">
        <v>0</v>
      </c>
      <c r="L92">
        <v>0</v>
      </c>
      <c r="M92" s="4"/>
      <c r="N92">
        <v>191</v>
      </c>
      <c r="O92">
        <v>13</v>
      </c>
      <c r="P92">
        <v>62</v>
      </c>
      <c r="Q92" s="103"/>
      <c r="U92" s="4"/>
      <c r="Y92" s="4"/>
      <c r="Z92">
        <f t="shared" si="12"/>
        <v>0</v>
      </c>
      <c r="AA92">
        <f t="shared" si="13"/>
        <v>127.5</v>
      </c>
      <c r="AB92">
        <f t="shared" si="14"/>
        <v>127.5</v>
      </c>
      <c r="AC92" s="24"/>
      <c r="AD92">
        <f t="shared" si="15"/>
        <v>255</v>
      </c>
      <c r="AE92">
        <f t="shared" si="16"/>
        <v>127.5</v>
      </c>
      <c r="AF92">
        <f t="shared" si="17"/>
        <v>0</v>
      </c>
      <c r="AG92" s="28"/>
      <c r="AH92">
        <f t="shared" si="18"/>
        <v>0</v>
      </c>
      <c r="AI92">
        <f t="shared" si="19"/>
        <v>0</v>
      </c>
      <c r="AJ92">
        <f t="shared" si="20"/>
        <v>0</v>
      </c>
      <c r="AK92" s="4"/>
      <c r="AL92">
        <f>SQRT((2+(($AL$3+Table4[[#This Row],[Red]])/2)/256)*($AL$3-Table4[[#This Row],[Red]])^2 + 4*($AM$3-Table4[[#This Row],[Green]])^2 + (2+(255-(($AL$3+Table4[[#This Row],[Red]])/2))/256 )*($AN$3-Table4[[#This Row],[Blue]])^2)</f>
        <v>466.83374566728787</v>
      </c>
      <c r="AM92">
        <f>SQRT((2+(($AO$3+Table4[[#This Row],[Red2]])/2)/256)*($AO$3-Table4[[#This Row],[Red2]])^2 + 4*($AP$3-Table4[[#This Row],[Green2]])^2 + (2+(255-(($AO$3+Table4[[#This Row],[Red2]])/2))/256 )*($AQ$3-Table4[[#This Row],[Blue2]])^2)</f>
        <v>419.51087590192463</v>
      </c>
      <c r="AN92">
        <f>SQRT(Table4[[#This Row],[diffPrimary]]^2+Table4[[#This Row],[diffSecondary]]^2)</f>
        <v>627.63295093051795</v>
      </c>
      <c r="AO92" s="2">
        <f>SQRT((2+(($AL$3+Table4[[#This Row],[Red2]])/2)/256)*($AL$3-Table4[[#This Row],[Red2]])^2 + 4*($AM$3-Table4[[#This Row],[Green2]])^2 + (2+(255-(($AL$3+Table4[[#This Row],[Red2]])/2))/256 )*($AN$3-Table4[[#This Row],[Blue2]])^2)</f>
        <v>159.65511535611691</v>
      </c>
      <c r="AP92" s="2">
        <f>SQRT((2+(($AO$3+Table4[[#This Row],[Red]])/2)/256)*($AO$3-Table4[[#This Row],[Red]])^2 + 4*($AP$3-Table4[[#This Row],[Green]])^2 + (2+(255-(($AO$3+Table4[[#This Row],[Red]])/2))/256 )*($AQ$3-Table4[[#This Row],[Blue]])^2)</f>
        <v>227.73338818396832</v>
      </c>
      <c r="AQ92" s="2">
        <f>SQRT(Table4[[#This Row],[diffPrimary2]]^2+Table4[[#This Row],[diffSecondary2]]^2)</f>
        <v>278.12272822105894</v>
      </c>
      <c r="AR92" s="786">
        <f>MIN(Table4[[#This Row],[MinOrig]],Table4[[#This Row],[MinSwap]])</f>
        <v>278.12272822105894</v>
      </c>
      <c r="AS92" s="2">
        <v>81.645097066510999</v>
      </c>
      <c r="AX92" s="4"/>
    </row>
    <row r="93" spans="1:50" x14ac:dyDescent="0.25">
      <c r="A93" t="s">
        <v>219</v>
      </c>
      <c r="B93">
        <v>220</v>
      </c>
      <c r="C93">
        <v>68</v>
      </c>
      <c r="D93">
        <v>5</v>
      </c>
      <c r="E93" s="439"/>
      <c r="F93">
        <v>0</v>
      </c>
      <c r="G93">
        <v>0</v>
      </c>
      <c r="H93">
        <v>0</v>
      </c>
      <c r="I93" s="4"/>
      <c r="J93">
        <v>255</v>
      </c>
      <c r="K93">
        <v>255</v>
      </c>
      <c r="L93">
        <v>255</v>
      </c>
      <c r="M93" s="3"/>
      <c r="Q93" s="4"/>
      <c r="U93" s="4"/>
      <c r="Y93" s="4"/>
      <c r="Z93">
        <f t="shared" si="12"/>
        <v>255</v>
      </c>
      <c r="AA93">
        <f t="shared" si="13"/>
        <v>127.5</v>
      </c>
      <c r="AB93">
        <f t="shared" si="14"/>
        <v>0</v>
      </c>
      <c r="AC93" s="28"/>
      <c r="AD93">
        <f t="shared" si="15"/>
        <v>0</v>
      </c>
      <c r="AE93">
        <f t="shared" si="16"/>
        <v>0</v>
      </c>
      <c r="AF93">
        <f t="shared" si="17"/>
        <v>0</v>
      </c>
      <c r="AG93" s="4"/>
      <c r="AH93">
        <f t="shared" si="18"/>
        <v>255</v>
      </c>
      <c r="AI93">
        <f t="shared" si="19"/>
        <v>255</v>
      </c>
      <c r="AJ93">
        <f t="shared" si="20"/>
        <v>255</v>
      </c>
      <c r="AK93" s="3"/>
      <c r="AL93">
        <f>SQRT((2+(($AL$3+Table4[[#This Row],[Red]])/2)/256)*($AL$3-Table4[[#This Row],[Red]])^2 + 4*($AM$3-Table4[[#This Row],[Green]])^2 + (2+(255-(($AL$3+Table4[[#This Row],[Red]])/2))/256 )*($AN$3-Table4[[#This Row],[Blue]])^2)</f>
        <v>280.5604811689451</v>
      </c>
      <c r="AM93">
        <f>SQRT((2+(($AO$3+Table4[[#This Row],[Red2]])/2)/256)*($AO$3-Table4[[#This Row],[Red2]])^2 + 4*($AP$3-Table4[[#This Row],[Green2]])^2 + (2+(255-(($AO$3+Table4[[#This Row],[Red2]])/2))/256 )*($AQ$3-Table4[[#This Row],[Blue2]])^2)</f>
        <v>0</v>
      </c>
      <c r="AN93">
        <f>SQRT(Table4[[#This Row],[diffPrimary]]^2+Table4[[#This Row],[diffSecondary]]^2)</f>
        <v>280.5604811689451</v>
      </c>
      <c r="AO93" s="2">
        <f>SQRT((2+(($AL$3+Table4[[#This Row],[Red2]])/2)/256)*($AL$3-Table4[[#This Row],[Red2]])^2 + 4*($AM$3-Table4[[#This Row],[Green2]])^2 + (2+(255-(($AL$3+Table4[[#This Row],[Red2]])/2))/256 )*($AN$3-Table4[[#This Row],[Blue2]])^2)</f>
        <v>574.92216694686158</v>
      </c>
      <c r="AP93" s="2">
        <f>SQRT((2+(($AO$3+Table4[[#This Row],[Red]])/2)/256)*($AO$3-Table4[[#This Row],[Red]])^2 + 4*($AP$3-Table4[[#This Row],[Green]])^2 + (2+(255-(($AO$3+Table4[[#This Row],[Red]])/2))/256 )*($AQ$3-Table4[[#This Row],[Blue]])^2)</f>
        <v>368.99462754388446</v>
      </c>
      <c r="AQ93" s="2">
        <f>SQRT(Table4[[#This Row],[diffPrimary2]]^2+Table4[[#This Row],[diffSecondary2]]^2)</f>
        <v>683.14898316774577</v>
      </c>
      <c r="AR93" s="786">
        <f>MIN(Table4[[#This Row],[MinOrig]],Table4[[#This Row],[MinSwap]])</f>
        <v>280.5604811689451</v>
      </c>
      <c r="AS93" s="2">
        <v>30.410184098012301</v>
      </c>
      <c r="AX93" s="4"/>
    </row>
    <row r="94" spans="1:50" x14ac:dyDescent="0.25">
      <c r="A94" t="s">
        <v>304</v>
      </c>
      <c r="B94">
        <v>45</v>
      </c>
      <c r="C94">
        <v>104</v>
      </c>
      <c r="D94">
        <v>96</v>
      </c>
      <c r="E94" s="597"/>
      <c r="F94">
        <v>242</v>
      </c>
      <c r="G94">
        <v>169</v>
      </c>
      <c r="H94">
        <v>0</v>
      </c>
      <c r="I94" s="298"/>
      <c r="M94" s="4"/>
      <c r="Q94" s="4"/>
      <c r="U94" s="4"/>
      <c r="Y94" s="4"/>
      <c r="Z94">
        <f t="shared" si="12"/>
        <v>0</v>
      </c>
      <c r="AA94">
        <f t="shared" si="13"/>
        <v>127.5</v>
      </c>
      <c r="AB94">
        <f t="shared" si="14"/>
        <v>127.5</v>
      </c>
      <c r="AC94" s="24"/>
      <c r="AD94">
        <f t="shared" si="15"/>
        <v>255</v>
      </c>
      <c r="AE94">
        <f t="shared" si="16"/>
        <v>127.5</v>
      </c>
      <c r="AF94">
        <f t="shared" si="17"/>
        <v>0</v>
      </c>
      <c r="AG94" s="28"/>
      <c r="AH94">
        <f t="shared" si="18"/>
        <v>0</v>
      </c>
      <c r="AI94">
        <f t="shared" si="19"/>
        <v>0</v>
      </c>
      <c r="AJ94">
        <f t="shared" si="20"/>
        <v>0</v>
      </c>
      <c r="AK94" s="4"/>
      <c r="AL94">
        <f>SQRT((2+(($AL$3+Table4[[#This Row],[Red]])/2)/256)*($AL$3-Table4[[#This Row],[Red]])^2 + 4*($AM$3-Table4[[#This Row],[Green]])^2 + (2+(255-(($AL$3+Table4[[#This Row],[Red]])/2))/256 )*($AN$3-Table4[[#This Row],[Blue]])^2)</f>
        <v>420.78004200532138</v>
      </c>
      <c r="AM94">
        <f>SQRT((2+(($AO$3+Table4[[#This Row],[Red2]])/2)/256)*($AO$3-Table4[[#This Row],[Red2]])^2 + 4*($AP$3-Table4[[#This Row],[Green2]])^2 + (2+(255-(($AO$3+Table4[[#This Row],[Red2]])/2))/256 )*($AQ$3-Table4[[#This Row],[Blue2]])^2)</f>
        <v>508.97214130539601</v>
      </c>
      <c r="AN94">
        <f>SQRT(Table4[[#This Row],[diffPrimary]]^2+Table4[[#This Row],[diffSecondary]]^2)</f>
        <v>660.38510308379909</v>
      </c>
      <c r="AO94" s="2">
        <f>SQRT((2+(($AL$3+Table4[[#This Row],[Red2]])/2)/256)*($AL$3-Table4[[#This Row],[Red2]])^2 + 4*($AM$3-Table4[[#This Row],[Green2]])^2 + (2+(255-(($AL$3+Table4[[#This Row],[Red2]])/2))/256 )*($AN$3-Table4[[#This Row],[Blue2]])^2)</f>
        <v>75.405893855354563</v>
      </c>
      <c r="AP94" s="2">
        <f>SQRT((2+(($AO$3+Table4[[#This Row],[Red]])/2)/256)*($AO$3-Table4[[#This Row],[Red]])^2 + 4*($AP$3-Table4[[#This Row],[Green]])^2 + (2+(255-(($AO$3+Table4[[#This Row],[Red]])/2))/256 )*($AQ$3-Table4[[#This Row],[Blue]])^2)</f>
        <v>272.56921784314716</v>
      </c>
      <c r="AQ94" s="2">
        <f>SQRT(Table4[[#This Row],[diffPrimary2]]^2+Table4[[#This Row],[diffSecondary2]]^2)</f>
        <v>282.80740326899155</v>
      </c>
      <c r="AR94" s="786">
        <f>MIN(Table4[[#This Row],[MinOrig]],Table4[[#This Row],[MinSwap]])</f>
        <v>282.80740326899155</v>
      </c>
      <c r="AS94" s="2">
        <v>85.523457125808505</v>
      </c>
      <c r="AX94" s="4"/>
    </row>
    <row r="95" spans="1:50" x14ac:dyDescent="0.25">
      <c r="A95" t="s">
        <v>224</v>
      </c>
      <c r="B95">
        <v>0</v>
      </c>
      <c r="C95">
        <v>53</v>
      </c>
      <c r="D95">
        <v>148</v>
      </c>
      <c r="E95" s="190"/>
      <c r="F95">
        <v>255</v>
      </c>
      <c r="G95">
        <v>184</v>
      </c>
      <c r="H95">
        <v>28</v>
      </c>
      <c r="I95" s="96"/>
      <c r="M95" s="4"/>
      <c r="Q95" s="4"/>
      <c r="U95" s="4"/>
      <c r="Y95" s="4"/>
      <c r="Z95">
        <f t="shared" si="12"/>
        <v>0</v>
      </c>
      <c r="AA95">
        <f t="shared" si="13"/>
        <v>0</v>
      </c>
      <c r="AB95">
        <f t="shared" si="14"/>
        <v>127.5</v>
      </c>
      <c r="AC95" s="26"/>
      <c r="AD95">
        <f t="shared" si="15"/>
        <v>255</v>
      </c>
      <c r="AE95">
        <f t="shared" si="16"/>
        <v>127.5</v>
      </c>
      <c r="AF95">
        <f t="shared" si="17"/>
        <v>0</v>
      </c>
      <c r="AG95" s="28"/>
      <c r="AH95">
        <f t="shared" si="18"/>
        <v>0</v>
      </c>
      <c r="AI95">
        <f t="shared" si="19"/>
        <v>0</v>
      </c>
      <c r="AJ95">
        <f t="shared" si="20"/>
        <v>0</v>
      </c>
      <c r="AK95" s="4"/>
      <c r="AL95">
        <f>SQRT((2+(($AL$3+Table4[[#This Row],[Red]])/2)/256)*($AL$3-Table4[[#This Row],[Red]])^2 + 4*($AM$3-Table4[[#This Row],[Green]])^2 + (2+(255-(($AL$3+Table4[[#This Row],[Red]])/2))/256 )*($AN$3-Table4[[#This Row],[Blue]])^2)</f>
        <v>556.38899773169044</v>
      </c>
      <c r="AM95">
        <f>SQRT((2+(($AO$3+Table4[[#This Row],[Red2]])/2)/256)*($AO$3-Table4[[#This Row],[Red2]])^2 + 4*($AP$3-Table4[[#This Row],[Green2]])^2 + (2+(255-(($AO$3+Table4[[#This Row],[Red2]])/2))/256 )*($AQ$3-Table4[[#This Row],[Blue2]])^2)</f>
        <v>547.55635947076257</v>
      </c>
      <c r="AN95">
        <f>SQRT(Table4[[#This Row],[diffPrimary]]^2+Table4[[#This Row],[diffSecondary]]^2)</f>
        <v>780.63223325311776</v>
      </c>
      <c r="AO95" s="2">
        <f>SQRT((2+(($AL$3+Table4[[#This Row],[Red2]])/2)/256)*($AL$3-Table4[[#This Row],[Red2]])^2 + 4*($AM$3-Table4[[#This Row],[Green2]])^2 + (2+(255-(($AL$3+Table4[[#This Row],[Red2]])/2))/256 )*($AN$3-Table4[[#This Row],[Blue2]])^2)</f>
        <v>57.723478758647246</v>
      </c>
      <c r="AP95" s="2">
        <f>SQRT((2+(($AO$3+Table4[[#This Row],[Red]])/2)/256)*($AO$3-Table4[[#This Row],[Red]])^2 + 4*($AP$3-Table4[[#This Row],[Green]])^2 + (2+(255-(($AO$3+Table4[[#This Row],[Red]])/2))/256 )*($AQ$3-Table4[[#This Row],[Blue]])^2)</f>
        <v>277.24075728507165</v>
      </c>
      <c r="AQ95" s="2">
        <f>SQRT(Table4[[#This Row],[diffPrimary2]]^2+Table4[[#This Row],[diffSecondary2]]^2)</f>
        <v>283.18622406466034</v>
      </c>
      <c r="AR95" s="786">
        <f>MIN(Table4[[#This Row],[MinOrig]],Table4[[#This Row],[MinSwap]])</f>
        <v>283.18622406466034</v>
      </c>
      <c r="AS95" s="2">
        <v>37.576588456111899</v>
      </c>
      <c r="AX95" s="4"/>
    </row>
    <row r="96" spans="1:50" x14ac:dyDescent="0.25">
      <c r="A96" t="s">
        <v>36</v>
      </c>
      <c r="B96">
        <v>0</v>
      </c>
      <c r="C96">
        <v>53</v>
      </c>
      <c r="D96">
        <v>148</v>
      </c>
      <c r="E96" s="190"/>
      <c r="F96">
        <v>255</v>
      </c>
      <c r="G96">
        <v>199</v>
      </c>
      <c r="H96">
        <v>44</v>
      </c>
      <c r="I96" s="68"/>
      <c r="M96" s="4"/>
      <c r="Q96" s="4"/>
      <c r="U96" s="4"/>
      <c r="Y96" s="4"/>
      <c r="Z96">
        <f t="shared" si="12"/>
        <v>0</v>
      </c>
      <c r="AA96">
        <f t="shared" si="13"/>
        <v>0</v>
      </c>
      <c r="AB96">
        <f t="shared" si="14"/>
        <v>127.5</v>
      </c>
      <c r="AC96" s="26"/>
      <c r="AD96">
        <f t="shared" si="15"/>
        <v>255</v>
      </c>
      <c r="AE96">
        <f t="shared" si="16"/>
        <v>255</v>
      </c>
      <c r="AF96">
        <f t="shared" si="17"/>
        <v>0</v>
      </c>
      <c r="AG96" s="9"/>
      <c r="AH96">
        <f t="shared" si="18"/>
        <v>0</v>
      </c>
      <c r="AI96">
        <f t="shared" si="19"/>
        <v>0</v>
      </c>
      <c r="AJ96">
        <f t="shared" si="20"/>
        <v>0</v>
      </c>
      <c r="AK96" s="4"/>
      <c r="AL96">
        <f>SQRT((2+(($AL$3+Table4[[#This Row],[Red]])/2)/256)*($AL$3-Table4[[#This Row],[Red]])^2 + 4*($AM$3-Table4[[#This Row],[Green]])^2 + (2+(255-(($AL$3+Table4[[#This Row],[Red]])/2))/256 )*($AN$3-Table4[[#This Row],[Blue]])^2)</f>
        <v>556.38899773169044</v>
      </c>
      <c r="AM96">
        <f>SQRT((2+(($AO$3+Table4[[#This Row],[Red2]])/2)/256)*($AO$3-Table4[[#This Row],[Red2]])^2 + 4*($AP$3-Table4[[#This Row],[Green2]])^2 + (2+(255-(($AO$3+Table4[[#This Row],[Red2]])/2))/256 )*($AQ$3-Table4[[#This Row],[Blue2]])^2)</f>
        <v>570.68004765969783</v>
      </c>
      <c r="AN96">
        <f>SQRT(Table4[[#This Row],[diffPrimary]]^2+Table4[[#This Row],[diffSecondary]]^2)</f>
        <v>797.02222904618543</v>
      </c>
      <c r="AO96" s="2">
        <f>SQRT((2+(($AL$3+Table4[[#This Row],[Red2]])/2)/256)*($AL$3-Table4[[#This Row],[Red2]])^2 + 4*($AM$3-Table4[[#This Row],[Green2]])^2 + (2+(255-(($AL$3+Table4[[#This Row],[Red2]])/2))/256 )*($AN$3-Table4[[#This Row],[Blue2]])^2)</f>
        <v>63.371918071019437</v>
      </c>
      <c r="AP96" s="2">
        <f>SQRT((2+(($AO$3+Table4[[#This Row],[Red]])/2)/256)*($AO$3-Table4[[#This Row],[Red]])^2 + 4*($AP$3-Table4[[#This Row],[Green]])^2 + (2+(255-(($AO$3+Table4[[#This Row],[Red]])/2))/256 )*($AQ$3-Table4[[#This Row],[Blue]])^2)</f>
        <v>277.24075728507165</v>
      </c>
      <c r="AQ96" s="2">
        <f>SQRT(Table4[[#This Row],[diffPrimary2]]^2+Table4[[#This Row],[diffSecondary2]]^2)</f>
        <v>284.39134568407673</v>
      </c>
      <c r="AR96" s="786">
        <f>MIN(Table4[[#This Row],[MinOrig]],Table4[[#This Row],[MinSwap]])</f>
        <v>284.39134568407673</v>
      </c>
      <c r="AS96" s="2">
        <v>37.576588456111899</v>
      </c>
      <c r="AX96" s="4"/>
    </row>
    <row r="97" spans="1:50" x14ac:dyDescent="0.25">
      <c r="A97" t="s">
        <v>240</v>
      </c>
      <c r="B97">
        <v>0</v>
      </c>
      <c r="C97">
        <v>78</v>
      </c>
      <c r="D97">
        <v>56</v>
      </c>
      <c r="E97" s="465"/>
      <c r="F97">
        <v>196</v>
      </c>
      <c r="G97">
        <v>182</v>
      </c>
      <c r="H97">
        <v>129</v>
      </c>
      <c r="I97" s="466"/>
      <c r="M97" s="4"/>
      <c r="Q97" s="4"/>
      <c r="U97" s="4"/>
      <c r="Y97" s="4"/>
      <c r="Z97">
        <f t="shared" si="12"/>
        <v>0</v>
      </c>
      <c r="AA97">
        <f t="shared" si="13"/>
        <v>127.5</v>
      </c>
      <c r="AB97">
        <f t="shared" si="14"/>
        <v>0</v>
      </c>
      <c r="AC97" s="34"/>
      <c r="AD97">
        <f t="shared" si="15"/>
        <v>255</v>
      </c>
      <c r="AE97">
        <f t="shared" si="16"/>
        <v>127.5</v>
      </c>
      <c r="AF97">
        <f t="shared" si="17"/>
        <v>127.5</v>
      </c>
      <c r="AG97" s="25"/>
      <c r="AH97">
        <f t="shared" si="18"/>
        <v>0</v>
      </c>
      <c r="AI97">
        <f t="shared" si="19"/>
        <v>0</v>
      </c>
      <c r="AJ97">
        <f t="shared" si="20"/>
        <v>0</v>
      </c>
      <c r="AK97" s="4"/>
      <c r="AL97">
        <f>SQRT((2+(($AL$3+Table4[[#This Row],[Red]])/2)/256)*($AL$3-Table4[[#This Row],[Red]])^2 + 4*($AM$3-Table4[[#This Row],[Green]])^2 + (2+(255-(($AL$3+Table4[[#This Row],[Red]])/2))/256 )*($AN$3-Table4[[#This Row],[Blue]])^2)</f>
        <v>484.54656437423534</v>
      </c>
      <c r="AM97">
        <f>SQRT((2+(($AO$3+Table4[[#This Row],[Red2]])/2)/256)*($AO$3-Table4[[#This Row],[Red2]])^2 + 4*($AP$3-Table4[[#This Row],[Green2]])^2 + (2+(255-(($AO$3+Table4[[#This Row],[Red2]])/2))/256 )*($AQ$3-Table4[[#This Row],[Blue2]])^2)</f>
        <v>517.22503640219315</v>
      </c>
      <c r="AN97">
        <f>SQRT(Table4[[#This Row],[diffPrimary]]^2+Table4[[#This Row],[diffSecondary]]^2)</f>
        <v>708.73627770005191</v>
      </c>
      <c r="AO97" s="2">
        <f>SQRT((2+(($AL$3+Table4[[#This Row],[Red2]])/2)/256)*($AL$3-Table4[[#This Row],[Red2]])^2 + 4*($AM$3-Table4[[#This Row],[Green2]])^2 + (2+(255-(($AL$3+Table4[[#This Row],[Red2]])/2))/256 )*($AN$3-Table4[[#This Row],[Blue2]])^2)</f>
        <v>217.58650399036702</v>
      </c>
      <c r="AP97" s="2">
        <f>SQRT((2+(($AO$3+Table4[[#This Row],[Red]])/2)/256)*($AO$3-Table4[[#This Row],[Red]])^2 + 4*($AP$3-Table4[[#This Row],[Green]])^2 + (2+(255-(($AO$3+Table4[[#This Row],[Red]])/2))/256 )*($AQ$3-Table4[[#This Row],[Blue]])^2)</f>
        <v>183.66205378357284</v>
      </c>
      <c r="AQ97" s="2">
        <f>SQRT(Table4[[#This Row],[diffPrimary2]]^2+Table4[[#This Row],[diffSecondary2]]^2)</f>
        <v>284.73783857919199</v>
      </c>
      <c r="AR97" s="786">
        <f>MIN(Table4[[#This Row],[MinOrig]],Table4[[#This Row],[MinSwap]])</f>
        <v>284.73783857919199</v>
      </c>
      <c r="AS97" s="2">
        <v>59.779967641761097</v>
      </c>
      <c r="AX97" s="4"/>
    </row>
    <row r="98" spans="1:50" x14ac:dyDescent="0.25">
      <c r="A98" t="s">
        <v>223</v>
      </c>
      <c r="B98">
        <v>0</v>
      </c>
      <c r="C98">
        <v>32</v>
      </c>
      <c r="D98">
        <v>91</v>
      </c>
      <c r="E98" s="98"/>
      <c r="F98">
        <v>216</v>
      </c>
      <c r="G98">
        <v>96</v>
      </c>
      <c r="H98">
        <v>24</v>
      </c>
      <c r="I98" s="441"/>
      <c r="M98" s="4"/>
      <c r="Q98" s="4"/>
      <c r="U98" s="4"/>
      <c r="Y98" s="4"/>
      <c r="Z98">
        <f t="shared" si="12"/>
        <v>0</v>
      </c>
      <c r="AA98">
        <f t="shared" si="13"/>
        <v>0</v>
      </c>
      <c r="AB98">
        <f t="shared" si="14"/>
        <v>127.5</v>
      </c>
      <c r="AC98" s="26"/>
      <c r="AD98">
        <f t="shared" si="15"/>
        <v>255</v>
      </c>
      <c r="AE98">
        <f t="shared" si="16"/>
        <v>127.5</v>
      </c>
      <c r="AF98">
        <f t="shared" si="17"/>
        <v>0</v>
      </c>
      <c r="AG98" s="28"/>
      <c r="AH98">
        <f t="shared" si="18"/>
        <v>0</v>
      </c>
      <c r="AI98">
        <f t="shared" si="19"/>
        <v>0</v>
      </c>
      <c r="AJ98">
        <f t="shared" si="20"/>
        <v>0</v>
      </c>
      <c r="AK98" s="4"/>
      <c r="AL98">
        <f>SQRT((2+(($AL$3+Table4[[#This Row],[Red]])/2)/256)*($AL$3-Table4[[#This Row],[Red]])^2 + 4*($AM$3-Table4[[#This Row],[Green]])^2 + (2+(255-(($AL$3+Table4[[#This Row],[Red]])/2))/256 )*($AN$3-Table4[[#This Row],[Blue]])^2)</f>
        <v>550.3070272300273</v>
      </c>
      <c r="AM98">
        <f>SQRT((2+(($AO$3+Table4[[#This Row],[Red2]])/2)/256)*($AO$3-Table4[[#This Row],[Red2]])^2 + 4*($AP$3-Table4[[#This Row],[Green2]])^2 + (2+(255-(($AO$3+Table4[[#This Row],[Red2]])/2))/256 )*($AQ$3-Table4[[#This Row],[Blue2]])^2)</f>
        <v>389.02667003690118</v>
      </c>
      <c r="AN98">
        <f>SQRT(Table4[[#This Row],[diffPrimary]]^2+Table4[[#This Row],[diffSecondary]]^2)</f>
        <v>673.92846372500844</v>
      </c>
      <c r="AO98" s="2">
        <f>SQRT((2+(($AL$3+Table4[[#This Row],[Red2]])/2)/256)*($AL$3-Table4[[#This Row],[Red2]])^2 + 4*($AM$3-Table4[[#This Row],[Green2]])^2 + (2+(255-(($AL$3+Table4[[#This Row],[Red2]])/2))/256 )*($AN$3-Table4[[#This Row],[Blue2]])^2)</f>
        <v>230.56685835539113</v>
      </c>
      <c r="AP98" s="2">
        <f>SQRT((2+(($AO$3+Table4[[#This Row],[Red]])/2)/256)*($AO$3-Table4[[#This Row],[Red]])^2 + 4*($AP$3-Table4[[#This Row],[Green]])^2 + (2+(255-(($AO$3+Table4[[#This Row],[Red]])/2))/256 )*($AQ$3-Table4[[#This Row],[Blue]])^2)</f>
        <v>170.01956459110815</v>
      </c>
      <c r="AQ98" s="2">
        <f>SQRT(Table4[[#This Row],[diffPrimary2]]^2+Table4[[#This Row],[diffSecondary2]]^2)</f>
        <v>286.4746559743549</v>
      </c>
      <c r="AR98" s="786">
        <f>MIN(Table4[[#This Row],[MinOrig]],Table4[[#This Row],[MinSwap]])</f>
        <v>286.4746559743549</v>
      </c>
      <c r="AS98" s="2">
        <v>68.239682713762704</v>
      </c>
      <c r="AX98" s="4"/>
    </row>
    <row r="99" spans="1:50" x14ac:dyDescent="0.25">
      <c r="A99" t="s">
        <v>406</v>
      </c>
      <c r="B99">
        <v>0</v>
      </c>
      <c r="C99">
        <v>37</v>
      </c>
      <c r="D99">
        <v>84</v>
      </c>
      <c r="E99" s="142"/>
      <c r="F99">
        <v>163</v>
      </c>
      <c r="G99">
        <v>116</v>
      </c>
      <c r="H99">
        <v>0</v>
      </c>
      <c r="I99" s="143"/>
      <c r="M99" s="4"/>
      <c r="Q99" s="4"/>
      <c r="U99" s="4"/>
      <c r="Y99" s="4"/>
      <c r="Z99">
        <f t="shared" si="12"/>
        <v>0</v>
      </c>
      <c r="AA99">
        <f t="shared" si="13"/>
        <v>0</v>
      </c>
      <c r="AB99">
        <f t="shared" si="14"/>
        <v>127.5</v>
      </c>
      <c r="AC99" s="26"/>
      <c r="AD99">
        <f t="shared" si="15"/>
        <v>127.5</v>
      </c>
      <c r="AE99">
        <f t="shared" si="16"/>
        <v>127.5</v>
      </c>
      <c r="AF99">
        <f t="shared" si="17"/>
        <v>0</v>
      </c>
      <c r="AG99" s="33"/>
      <c r="AK99" s="4"/>
      <c r="AL99">
        <f>SQRT((2+(($AL$3+Table4[[#This Row],[Red]])/2)/256)*($AL$3-Table4[[#This Row],[Red]])^2 + 4*($AM$3-Table4[[#This Row],[Green]])^2 + (2+(255-(($AL$3+Table4[[#This Row],[Red]])/2))/256 )*($AN$3-Table4[[#This Row],[Blue]])^2)</f>
        <v>541.25568523284358</v>
      </c>
      <c r="AM99">
        <f>SQRT((2+(($AO$3+Table4[[#This Row],[Red2]])/2)/256)*($AO$3-Table4[[#This Row],[Red2]])^2 + 4*($AP$3-Table4[[#This Row],[Green2]])^2 + (2+(255-(($AO$3+Table4[[#This Row],[Red2]])/2))/256 )*($AQ$3-Table4[[#This Row],[Blue2]])^2)</f>
        <v>339.73591248847242</v>
      </c>
      <c r="AN99">
        <f>SQRT(Table4[[#This Row],[diffPrimary]]^2+Table4[[#This Row],[diffSecondary]]^2)</f>
        <v>639.04476136750395</v>
      </c>
      <c r="AO99" s="2">
        <f>SQRT((2+(($AL$3+Table4[[#This Row],[Red2]])/2)/256)*($AL$3-Table4[[#This Row],[Red2]])^2 + 4*($AM$3-Table4[[#This Row],[Green2]])^2 + (2+(255-(($AL$3+Table4[[#This Row],[Red2]])/2))/256 )*($AN$3-Table4[[#This Row],[Blue2]])^2)</f>
        <v>235.63120018367687</v>
      </c>
      <c r="AP99" s="2">
        <f>SQRT((2+(($AO$3+Table4[[#This Row],[Red]])/2)/256)*($AO$3-Table4[[#This Row],[Red]])^2 + 4*($AP$3-Table4[[#This Row],[Green]])^2 + (2+(255-(($AO$3+Table4[[#This Row],[Red]])/2))/256 )*($AQ$3-Table4[[#This Row],[Blue]])^2)</f>
        <v>163.14544890986079</v>
      </c>
      <c r="AQ99" s="2">
        <f>SQRT(Table4[[#This Row],[diffPrimary2]]^2+Table4[[#This Row],[diffSecondary2]]^2)</f>
        <v>286.59815072676236</v>
      </c>
      <c r="AR99" s="786">
        <f>MIN(Table4[[#This Row],[MinOrig]],Table4[[#This Row],[MinSwap]])</f>
        <v>286.59815072676236</v>
      </c>
      <c r="AS99" s="2">
        <v>91.632662964005405</v>
      </c>
      <c r="AX99" s="4"/>
    </row>
    <row r="100" spans="1:50" x14ac:dyDescent="0.25">
      <c r="A100" t="s">
        <v>338</v>
      </c>
      <c r="B100">
        <v>2</v>
      </c>
      <c r="C100">
        <v>105</v>
      </c>
      <c r="D100">
        <v>55</v>
      </c>
      <c r="E100" s="623"/>
      <c r="F100">
        <v>206</v>
      </c>
      <c r="G100">
        <v>160</v>
      </c>
      <c r="H100">
        <v>82</v>
      </c>
      <c r="I100" s="624"/>
      <c r="J100">
        <v>255</v>
      </c>
      <c r="K100">
        <v>255</v>
      </c>
      <c r="L100">
        <v>165</v>
      </c>
      <c r="M100" s="625"/>
      <c r="N100">
        <v>222</v>
      </c>
      <c r="O100">
        <v>99</v>
      </c>
      <c r="P100">
        <v>40</v>
      </c>
      <c r="Q100" s="626"/>
      <c r="U100" s="4"/>
      <c r="Y100" s="4"/>
      <c r="Z100">
        <f t="shared" si="12"/>
        <v>0</v>
      </c>
      <c r="AA100">
        <f t="shared" si="13"/>
        <v>127.5</v>
      </c>
      <c r="AB100">
        <f t="shared" si="14"/>
        <v>0</v>
      </c>
      <c r="AC100" s="34"/>
      <c r="AD100">
        <f t="shared" si="15"/>
        <v>255</v>
      </c>
      <c r="AE100">
        <f t="shared" si="16"/>
        <v>127.5</v>
      </c>
      <c r="AF100">
        <f t="shared" si="17"/>
        <v>127.5</v>
      </c>
      <c r="AG100" s="25"/>
      <c r="AH100">
        <f t="shared" ref="AH100:AH163" si="21">ROUND(J100/255*$AA$2,0)*$AC$2/$AA$2</f>
        <v>255</v>
      </c>
      <c r="AI100">
        <f t="shared" ref="AI100:AI163" si="22">ROUND(K100/255*$AA$2,0)*$AC$2/$AA$2</f>
        <v>255</v>
      </c>
      <c r="AJ100">
        <f t="shared" ref="AJ100:AJ163" si="23">ROUND(L100/255*$AA$2,0)*$AC$2/$AA$2</f>
        <v>127.5</v>
      </c>
      <c r="AK100" s="29"/>
      <c r="AL100">
        <f>SQRT((2+(($AL$3+Table4[[#This Row],[Red]])/2)/256)*($AL$3-Table4[[#This Row],[Red]])^2 + 4*($AM$3-Table4[[#This Row],[Green]])^2 + (2+(255-(($AL$3+Table4[[#This Row],[Red]])/2))/256 )*($AN$3-Table4[[#This Row],[Blue]])^2)</f>
        <v>455.73269903392929</v>
      </c>
      <c r="AM100">
        <f>SQRT((2+(($AO$3+Table4[[#This Row],[Red2]])/2)/256)*($AO$3-Table4[[#This Row],[Red2]])^2 + 4*($AP$3-Table4[[#This Row],[Green2]])^2 + (2+(255-(($AO$3+Table4[[#This Row],[Red2]])/2))/256 )*($AQ$3-Table4[[#This Row],[Blue2]])^2)</f>
        <v>470.94185880530944</v>
      </c>
      <c r="AN100">
        <f>SQRT(Table4[[#This Row],[diffPrimary]]^2+Table4[[#This Row],[diffSecondary]]^2)</f>
        <v>655.34611263343129</v>
      </c>
      <c r="AO100" s="2">
        <f>SQRT((2+(($AL$3+Table4[[#This Row],[Red2]])/2)/256)*($AL$3-Table4[[#This Row],[Red2]])^2 + 4*($AM$3-Table4[[#This Row],[Green2]])^2 + (2+(255-(($AL$3+Table4[[#This Row],[Red2]])/2))/256 )*($AN$3-Table4[[#This Row],[Blue2]])^2)</f>
        <v>170.74936516170419</v>
      </c>
      <c r="AP100" s="2">
        <f>SQRT((2+(($AO$3+Table4[[#This Row],[Red]])/2)/256)*($AO$3-Table4[[#This Row],[Red]])^2 + 4*($AP$3-Table4[[#This Row],[Green]])^2 + (2+(255-(($AO$3+Table4[[#This Row],[Red]])/2))/256 )*($AQ$3-Table4[[#This Row],[Blue]])^2)</f>
        <v>230.56318616054037</v>
      </c>
      <c r="AQ100" s="2">
        <f>SQRT(Table4[[#This Row],[diffPrimary2]]^2+Table4[[#This Row],[diffSecondary2]]^2)</f>
        <v>286.90543479624955</v>
      </c>
      <c r="AR100" s="786">
        <f>MIN(Table4[[#This Row],[MinOrig]],Table4[[#This Row],[MinSwap]])</f>
        <v>286.90543479624955</v>
      </c>
      <c r="AS100" s="2">
        <v>41.696962943960301</v>
      </c>
      <c r="AX100" s="4"/>
    </row>
    <row r="101" spans="1:50" x14ac:dyDescent="0.25">
      <c r="A101" t="s">
        <v>75</v>
      </c>
      <c r="B101">
        <v>89</v>
      </c>
      <c r="C101">
        <v>42</v>
      </c>
      <c r="D101">
        <v>138</v>
      </c>
      <c r="E101" s="223"/>
      <c r="F101">
        <v>253</v>
      </c>
      <c r="G101">
        <v>200</v>
      </c>
      <c r="H101">
        <v>47</v>
      </c>
      <c r="I101" s="224"/>
      <c r="M101" s="4"/>
      <c r="Q101" s="4"/>
      <c r="U101" s="4"/>
      <c r="Y101" s="4"/>
      <c r="Z101">
        <f t="shared" si="12"/>
        <v>127.5</v>
      </c>
      <c r="AA101">
        <f t="shared" si="13"/>
        <v>0</v>
      </c>
      <c r="AB101">
        <f t="shared" si="14"/>
        <v>127.5</v>
      </c>
      <c r="AC101" s="30"/>
      <c r="AD101">
        <f t="shared" si="15"/>
        <v>255</v>
      </c>
      <c r="AE101">
        <f t="shared" si="16"/>
        <v>255</v>
      </c>
      <c r="AF101">
        <f t="shared" si="17"/>
        <v>0</v>
      </c>
      <c r="AG101" s="9"/>
      <c r="AH101">
        <f t="shared" si="21"/>
        <v>0</v>
      </c>
      <c r="AI101">
        <f t="shared" si="22"/>
        <v>0</v>
      </c>
      <c r="AJ101">
        <f t="shared" si="23"/>
        <v>0</v>
      </c>
      <c r="AK101" s="4"/>
      <c r="AL101">
        <f>SQRT((2+(($AL$3+Table4[[#This Row],[Red]])/2)/256)*($AL$3-Table4[[#This Row],[Red]])^2 + 4*($AM$3-Table4[[#This Row],[Green]])^2 + (2+(255-(($AL$3+Table4[[#This Row],[Red]])/2))/256 )*($AN$3-Table4[[#This Row],[Blue]])^2)</f>
        <v>473.46025110351133</v>
      </c>
      <c r="AM101">
        <f>SQRT((2+(($AO$3+Table4[[#This Row],[Red2]])/2)/256)*($AO$3-Table4[[#This Row],[Red2]])^2 + 4*($AP$3-Table4[[#This Row],[Green2]])^2 + (2+(255-(($AO$3+Table4[[#This Row],[Red2]])/2))/256 )*($AQ$3-Table4[[#This Row],[Blue2]])^2)</f>
        <v>570.24052970544801</v>
      </c>
      <c r="AN101">
        <f>SQRT(Table4[[#This Row],[diffPrimary]]^2+Table4[[#This Row],[diffSecondary]]^2)</f>
        <v>741.17398166270652</v>
      </c>
      <c r="AO101" s="2">
        <f>SQRT((2+(($AL$3+Table4[[#This Row],[Red2]])/2)/256)*($AL$3-Table4[[#This Row],[Red2]])^2 + 4*($AM$3-Table4[[#This Row],[Green2]])^2 + (2+(255-(($AL$3+Table4[[#This Row],[Red2]])/2))/256 )*($AN$3-Table4[[#This Row],[Blue2]])^2)</f>
        <v>67.369115002722125</v>
      </c>
      <c r="AP101" s="2">
        <f>SQRT((2+(($AO$3+Table4[[#This Row],[Red]])/2)/256)*($AO$3-Table4[[#This Row],[Red]])^2 + 4*($AP$3-Table4[[#This Row],[Green]])^2 + (2+(255-(($AO$3+Table4[[#This Row],[Red]])/2))/256 )*($AQ$3-Table4[[#This Row],[Blue]])^2)</f>
        <v>279.32439768238112</v>
      </c>
      <c r="AQ101" s="2">
        <f>SQRT(Table4[[#This Row],[diffPrimary2]]^2+Table4[[#This Row],[diffSecondary2]]^2)</f>
        <v>287.33380726408615</v>
      </c>
      <c r="AR101" s="786">
        <f>MIN(Table4[[#This Row],[MinOrig]],Table4[[#This Row],[MinSwap]])</f>
        <v>287.33380726408615</v>
      </c>
      <c r="AS101" s="2">
        <v>23.691704771923899</v>
      </c>
      <c r="AX101" s="4"/>
    </row>
    <row r="102" spans="1:50" x14ac:dyDescent="0.25">
      <c r="A102" t="s">
        <v>147</v>
      </c>
      <c r="B102">
        <v>128</v>
      </c>
      <c r="C102">
        <v>0</v>
      </c>
      <c r="D102">
        <v>41</v>
      </c>
      <c r="E102" s="335"/>
      <c r="F102">
        <v>190</v>
      </c>
      <c r="G102">
        <v>149</v>
      </c>
      <c r="H102">
        <v>91</v>
      </c>
      <c r="I102" s="336"/>
      <c r="J102">
        <v>100</v>
      </c>
      <c r="K102">
        <v>101</v>
      </c>
      <c r="L102">
        <v>105</v>
      </c>
      <c r="M102" s="337"/>
      <c r="N102">
        <v>219</v>
      </c>
      <c r="O102">
        <v>217</v>
      </c>
      <c r="P102">
        <v>214</v>
      </c>
      <c r="Q102" s="338"/>
      <c r="U102" s="4"/>
      <c r="Y102" s="4"/>
      <c r="Z102">
        <f t="shared" si="12"/>
        <v>127.5</v>
      </c>
      <c r="AA102">
        <f t="shared" si="13"/>
        <v>0</v>
      </c>
      <c r="AB102">
        <f t="shared" si="14"/>
        <v>0</v>
      </c>
      <c r="AC102" s="27"/>
      <c r="AD102">
        <f t="shared" si="15"/>
        <v>127.5</v>
      </c>
      <c r="AE102">
        <f t="shared" si="16"/>
        <v>127.5</v>
      </c>
      <c r="AF102">
        <f t="shared" si="17"/>
        <v>127.5</v>
      </c>
      <c r="AG102" s="32"/>
      <c r="AH102">
        <f t="shared" si="21"/>
        <v>127.5</v>
      </c>
      <c r="AI102">
        <f t="shared" si="22"/>
        <v>127.5</v>
      </c>
      <c r="AJ102">
        <f t="shared" si="23"/>
        <v>127.5</v>
      </c>
      <c r="AK102" s="32"/>
      <c r="AL102">
        <f>SQRT((2+(($AL$3+Table4[[#This Row],[Red]])/2)/256)*($AL$3-Table4[[#This Row],[Red]])^2 + 4*($AM$3-Table4[[#This Row],[Green]])^2 + (2+(255-(($AL$3+Table4[[#This Row],[Red]])/2))/256 )*($AN$3-Table4[[#This Row],[Blue]])^2)</f>
        <v>464.97549918651629</v>
      </c>
      <c r="AM102">
        <f>SQRT((2+(($AO$3+Table4[[#This Row],[Red2]])/2)/256)*($AO$3-Table4[[#This Row],[Red2]])^2 + 4*($AP$3-Table4[[#This Row],[Green2]])^2 + (2+(255-(($AO$3+Table4[[#This Row],[Red2]])/2))/256 )*($AQ$3-Table4[[#This Row],[Blue2]])^2)</f>
        <v>442.87482359578763</v>
      </c>
      <c r="AN102">
        <f>SQRT(Table4[[#This Row],[diffPrimary]]^2+Table4[[#This Row],[diffSecondary]]^2)</f>
        <v>642.13730947418867</v>
      </c>
      <c r="AO102" s="2">
        <f>SQRT((2+(($AL$3+Table4[[#This Row],[Red2]])/2)/256)*($AL$3-Table4[[#This Row],[Red2]])^2 + 4*($AM$3-Table4[[#This Row],[Green2]])^2 + (2+(255-(($AL$3+Table4[[#This Row],[Red2]])/2))/256 )*($AN$3-Table4[[#This Row],[Blue2]])^2)</f>
        <v>205.61959529371222</v>
      </c>
      <c r="AP102" s="2">
        <f>SQRT((2+(($AO$3+Table4[[#This Row],[Red]])/2)/256)*($AO$3-Table4[[#This Row],[Red]])^2 + 4*($AP$3-Table4[[#This Row],[Green]])^2 + (2+(255-(($AO$3+Table4[[#This Row],[Red]])/2))/256 )*($AQ$3-Table4[[#This Row],[Blue]])^2)</f>
        <v>203.66684461087425</v>
      </c>
      <c r="AQ102" s="2">
        <f>SQRT(Table4[[#This Row],[diffPrimary2]]^2+Table4[[#This Row],[diffSecondary2]]^2)</f>
        <v>289.41251106767999</v>
      </c>
      <c r="AR102" s="786">
        <f>MIN(Table4[[#This Row],[MinOrig]],Table4[[#This Row],[MinSwap]])</f>
        <v>289.41251106767999</v>
      </c>
      <c r="AS102" s="2">
        <v>56.554332973919898</v>
      </c>
      <c r="AX102" s="4"/>
    </row>
    <row r="103" spans="1:50" x14ac:dyDescent="0.25">
      <c r="A103" t="s">
        <v>217</v>
      </c>
      <c r="B103">
        <v>4</v>
      </c>
      <c r="C103">
        <v>47</v>
      </c>
      <c r="D103">
        <v>96</v>
      </c>
      <c r="E103" s="435"/>
      <c r="F103">
        <v>197</v>
      </c>
      <c r="G103">
        <v>183</v>
      </c>
      <c r="H103">
        <v>131</v>
      </c>
      <c r="I103" s="158"/>
      <c r="J103">
        <v>162</v>
      </c>
      <c r="K103">
        <v>142</v>
      </c>
      <c r="L103">
        <v>42</v>
      </c>
      <c r="M103" s="436"/>
      <c r="Q103" s="4"/>
      <c r="U103" s="4"/>
      <c r="Y103" s="4"/>
      <c r="Z103">
        <f t="shared" si="12"/>
        <v>0</v>
      </c>
      <c r="AA103">
        <f t="shared" si="13"/>
        <v>0</v>
      </c>
      <c r="AB103">
        <f t="shared" si="14"/>
        <v>127.5</v>
      </c>
      <c r="AC103" s="26"/>
      <c r="AD103">
        <f t="shared" si="15"/>
        <v>255</v>
      </c>
      <c r="AE103">
        <f t="shared" si="16"/>
        <v>127.5</v>
      </c>
      <c r="AF103">
        <f t="shared" si="17"/>
        <v>127.5</v>
      </c>
      <c r="AG103" s="25"/>
      <c r="AH103">
        <f t="shared" si="21"/>
        <v>127.5</v>
      </c>
      <c r="AI103">
        <f t="shared" si="22"/>
        <v>127.5</v>
      </c>
      <c r="AJ103">
        <f t="shared" si="23"/>
        <v>0</v>
      </c>
      <c r="AK103" s="33"/>
      <c r="AL103">
        <f>SQRT((2+(($AL$3+Table4[[#This Row],[Red]])/2)/256)*($AL$3-Table4[[#This Row],[Red]])^2 + 4*($AM$3-Table4[[#This Row],[Green]])^2 + (2+(255-(($AL$3+Table4[[#This Row],[Red]])/2))/256 )*($AN$3-Table4[[#This Row],[Blue]])^2)</f>
        <v>529.79019100430219</v>
      </c>
      <c r="AM103">
        <f>SQRT((2+(($AO$3+Table4[[#This Row],[Red2]])/2)/256)*($AO$3-Table4[[#This Row],[Red2]])^2 + 4*($AP$3-Table4[[#This Row],[Green2]])^2 + (2+(255-(($AO$3+Table4[[#This Row],[Red2]])/2))/256 )*($AQ$3-Table4[[#This Row],[Blue2]])^2)</f>
        <v>520.8832605236513</v>
      </c>
      <c r="AN103">
        <f>SQRT(Table4[[#This Row],[diffPrimary]]^2+Table4[[#This Row],[diffSecondary]]^2)</f>
        <v>742.96501773510511</v>
      </c>
      <c r="AO103" s="2">
        <f>SQRT((2+(($AL$3+Table4[[#This Row],[Red2]])/2)/256)*($AL$3-Table4[[#This Row],[Red2]])^2 + 4*($AM$3-Table4[[#This Row],[Green2]])^2 + (2+(255-(($AL$3+Table4[[#This Row],[Red2]])/2))/256 )*($AN$3-Table4[[#This Row],[Blue2]])^2)</f>
        <v>218.86023115506848</v>
      </c>
      <c r="AP103" s="2">
        <f>SQRT((2+(($AO$3+Table4[[#This Row],[Red]])/2)/256)*($AO$3-Table4[[#This Row],[Red]])^2 + 4*($AP$3-Table4[[#This Row],[Green]])^2 + (2+(255-(($AO$3+Table4[[#This Row],[Red]])/2))/256 )*($AQ$3-Table4[[#This Row],[Blue]])^2)</f>
        <v>190.80913238102625</v>
      </c>
      <c r="AQ103" s="2">
        <f>SQRT(Table4[[#This Row],[diffPrimary2]]^2+Table4[[#This Row],[diffSecondary2]]^2)</f>
        <v>290.35827141869061</v>
      </c>
      <c r="AR103" s="786">
        <f>MIN(Table4[[#This Row],[MinOrig]],Table4[[#This Row],[MinSwap]])</f>
        <v>290.35827141869061</v>
      </c>
      <c r="AS103" s="2">
        <v>31.730616622593399</v>
      </c>
      <c r="AX103" s="4"/>
    </row>
    <row r="104" spans="1:50" x14ac:dyDescent="0.25">
      <c r="A104" t="s">
        <v>27</v>
      </c>
      <c r="B104">
        <v>254</v>
      </c>
      <c r="C104">
        <v>80</v>
      </c>
      <c r="D104">
        <v>0</v>
      </c>
      <c r="E104" s="112"/>
      <c r="F104">
        <v>79</v>
      </c>
      <c r="G104">
        <v>44</v>
      </c>
      <c r="H104">
        <v>29</v>
      </c>
      <c r="I104" s="113"/>
      <c r="J104">
        <v>205</v>
      </c>
      <c r="K104">
        <v>160</v>
      </c>
      <c r="L104">
        <v>119</v>
      </c>
      <c r="M104" s="114"/>
      <c r="N104">
        <v>0</v>
      </c>
      <c r="O104">
        <v>0</v>
      </c>
      <c r="P104">
        <v>0</v>
      </c>
      <c r="Q104" s="4"/>
      <c r="U104" s="4"/>
      <c r="Y104" s="4"/>
      <c r="Z104">
        <f t="shared" si="12"/>
        <v>255</v>
      </c>
      <c r="AA104">
        <f t="shared" si="13"/>
        <v>127.5</v>
      </c>
      <c r="AB104">
        <f t="shared" si="14"/>
        <v>0</v>
      </c>
      <c r="AC104" s="28"/>
      <c r="AD104">
        <f t="shared" si="15"/>
        <v>127.5</v>
      </c>
      <c r="AE104">
        <f t="shared" si="16"/>
        <v>0</v>
      </c>
      <c r="AF104">
        <f t="shared" si="17"/>
        <v>0</v>
      </c>
      <c r="AG104" s="27"/>
      <c r="AH104">
        <f t="shared" si="21"/>
        <v>255</v>
      </c>
      <c r="AI104">
        <f t="shared" si="22"/>
        <v>127.5</v>
      </c>
      <c r="AJ104">
        <f t="shared" si="23"/>
        <v>127.5</v>
      </c>
      <c r="AK104" s="25"/>
      <c r="AL104">
        <f>SQRT((2+(($AL$3+Table4[[#This Row],[Red]])/2)/256)*($AL$3-Table4[[#This Row],[Red]])^2 + 4*($AM$3-Table4[[#This Row],[Green]])^2 + (2+(255-(($AL$3+Table4[[#This Row],[Red]])/2))/256 )*($AN$3-Table4[[#This Row],[Blue]])^2)</f>
        <v>250.00598820953269</v>
      </c>
      <c r="AM104">
        <f>SQRT((2+(($AO$3+Table4[[#This Row],[Red2]])/2)/256)*($AO$3-Table4[[#This Row],[Red2]])^2 + 4*($AP$3-Table4[[#This Row],[Green2]])^2 + (2+(255-(($AO$3+Table4[[#This Row],[Red2]])/2))/256 )*($AQ$3-Table4[[#This Row],[Blue2]])^2)</f>
        <v>153.55428345946589</v>
      </c>
      <c r="AN104">
        <f>SQRT(Table4[[#This Row],[diffPrimary]]^2+Table4[[#This Row],[diffSecondary]]^2)</f>
        <v>293.39719172032818</v>
      </c>
      <c r="AO104" s="2">
        <f>SQRT((2+(($AL$3+Table4[[#This Row],[Red2]])/2)/256)*($AL$3-Table4[[#This Row],[Red2]])^2 + 4*($AM$3-Table4[[#This Row],[Green2]])^2 + (2+(255-(($AL$3+Table4[[#This Row],[Red2]])/2))/256 )*($AN$3-Table4[[#This Row],[Blue2]])^2)</f>
        <v>433.37523435240274</v>
      </c>
      <c r="AP104" s="2">
        <f>SQRT((2+(($AO$3+Table4[[#This Row],[Red]])/2)/256)*($AO$3-Table4[[#This Row],[Red]])^2 + 4*($AP$3-Table4[[#This Row],[Green]])^2 + (2+(255-(($AO$3+Table4[[#This Row],[Red]])/2))/256 )*($AQ$3-Table4[[#This Row],[Blue]])^2)</f>
        <v>432.01618531601338</v>
      </c>
      <c r="AQ104" s="2">
        <f>SQRT(Table4[[#This Row],[diffPrimary2]]^2+Table4[[#This Row],[diffSecondary2]]^2)</f>
        <v>611.92489582055737</v>
      </c>
      <c r="AR104" s="786">
        <f>MIN(Table4[[#This Row],[MinOrig]],Table4[[#This Row],[MinSwap]])</f>
        <v>293.39719172032818</v>
      </c>
      <c r="AS104" s="2">
        <v>100.228235636222</v>
      </c>
      <c r="AX104" s="4"/>
    </row>
    <row r="105" spans="1:50" x14ac:dyDescent="0.25">
      <c r="A105" t="s">
        <v>46</v>
      </c>
      <c r="B105">
        <v>168</v>
      </c>
      <c r="C105">
        <v>153</v>
      </c>
      <c r="D105">
        <v>110</v>
      </c>
      <c r="E105" s="159"/>
      <c r="F105">
        <v>0</v>
      </c>
      <c r="G105">
        <v>40</v>
      </c>
      <c r="H105">
        <v>85</v>
      </c>
      <c r="I105" s="160"/>
      <c r="J105">
        <v>255</v>
      </c>
      <c r="K105">
        <v>255</v>
      </c>
      <c r="L105">
        <v>255</v>
      </c>
      <c r="M105" s="3"/>
      <c r="Q105" s="4"/>
      <c r="U105" s="4"/>
      <c r="Y105" s="4"/>
      <c r="Z105">
        <f t="shared" si="12"/>
        <v>127.5</v>
      </c>
      <c r="AA105">
        <f t="shared" si="13"/>
        <v>127.5</v>
      </c>
      <c r="AB105">
        <f t="shared" si="14"/>
        <v>127.5</v>
      </c>
      <c r="AC105" s="32"/>
      <c r="AD105">
        <f t="shared" si="15"/>
        <v>0</v>
      </c>
      <c r="AE105">
        <f t="shared" si="16"/>
        <v>0</v>
      </c>
      <c r="AF105">
        <f t="shared" si="17"/>
        <v>127.5</v>
      </c>
      <c r="AG105" s="26"/>
      <c r="AH105">
        <f t="shared" si="21"/>
        <v>255</v>
      </c>
      <c r="AI105">
        <f t="shared" si="22"/>
        <v>255</v>
      </c>
      <c r="AJ105">
        <f t="shared" si="23"/>
        <v>255</v>
      </c>
      <c r="AK105" s="3"/>
      <c r="AL105">
        <f>SQRT((2+(($AL$3+Table4[[#This Row],[Red]])/2)/256)*($AL$3-Table4[[#This Row],[Red]])^2 + 4*($AM$3-Table4[[#This Row],[Green]])^2 + (2+(255-(($AL$3+Table4[[#This Row],[Red]])/2))/256 )*($AN$3-Table4[[#This Row],[Blue]])^2)</f>
        <v>241.79195522054698</v>
      </c>
      <c r="AM105">
        <f>SQRT((2+(($AO$3+Table4[[#This Row],[Red2]])/2)/256)*($AO$3-Table4[[#This Row],[Red2]])^2 + 4*($AP$3-Table4[[#This Row],[Green2]])^2 + (2+(255-(($AO$3+Table4[[#This Row],[Red2]])/2))/256 )*($AQ$3-Table4[[#This Row],[Blue2]])^2)</f>
        <v>167.47172102701398</v>
      </c>
      <c r="AN105">
        <f>SQRT(Table4[[#This Row],[diffPrimary]]^2+Table4[[#This Row],[diffSecondary]]^2)</f>
        <v>294.12603922999574</v>
      </c>
      <c r="AO105" s="2">
        <f>SQRT((2+(($AL$3+Table4[[#This Row],[Red2]])/2)/256)*($AL$3-Table4[[#This Row],[Red2]])^2 + 4*($AM$3-Table4[[#This Row],[Green2]])^2 + (2+(255-(($AL$3+Table4[[#This Row],[Red2]])/2))/256 )*($AN$3-Table4[[#This Row],[Blue2]])^2)</f>
        <v>537.94412973723399</v>
      </c>
      <c r="AP105" s="2">
        <f>SQRT((2+(($AO$3+Table4[[#This Row],[Red]])/2)/256)*($AO$3-Table4[[#This Row],[Red]])^2 + 4*($AP$3-Table4[[#This Row],[Green]])^2 + (2+(255-(($AO$3+Table4[[#This Row],[Red]])/2))/256 )*($AQ$3-Table4[[#This Row],[Blue]])^2)</f>
        <v>437.75269488033996</v>
      </c>
      <c r="AQ105" s="2">
        <f>SQRT(Table4[[#This Row],[diffPrimary2]]^2+Table4[[#This Row],[diffSecondary2]]^2)</f>
        <v>693.54978811455931</v>
      </c>
      <c r="AR105" s="786">
        <f>MIN(Table4[[#This Row],[MinOrig]],Table4[[#This Row],[MinSwap]])</f>
        <v>294.12603922999574</v>
      </c>
      <c r="AS105" s="2">
        <v>27.9636343086874</v>
      </c>
      <c r="AX105" s="4"/>
    </row>
    <row r="106" spans="1:50" x14ac:dyDescent="0.25">
      <c r="A106" t="s">
        <v>260</v>
      </c>
      <c r="B106">
        <v>0</v>
      </c>
      <c r="C106">
        <v>51</v>
      </c>
      <c r="D106">
        <v>160</v>
      </c>
      <c r="E106" s="105"/>
      <c r="F106">
        <v>255</v>
      </c>
      <c r="G106">
        <v>209</v>
      </c>
      <c r="H106">
        <v>0</v>
      </c>
      <c r="I106" s="489"/>
      <c r="M106" s="4"/>
      <c r="Q106" s="4"/>
      <c r="U106" s="4"/>
      <c r="Y106" s="4"/>
      <c r="Z106">
        <f t="shared" si="12"/>
        <v>0</v>
      </c>
      <c r="AA106">
        <f t="shared" si="13"/>
        <v>0</v>
      </c>
      <c r="AB106">
        <f t="shared" si="14"/>
        <v>127.5</v>
      </c>
      <c r="AC106" s="26"/>
      <c r="AD106">
        <f t="shared" si="15"/>
        <v>255</v>
      </c>
      <c r="AE106">
        <f t="shared" si="16"/>
        <v>255</v>
      </c>
      <c r="AF106">
        <f t="shared" si="17"/>
        <v>0</v>
      </c>
      <c r="AG106" s="9"/>
      <c r="AH106">
        <f t="shared" si="21"/>
        <v>0</v>
      </c>
      <c r="AI106">
        <f t="shared" si="22"/>
        <v>0</v>
      </c>
      <c r="AJ106">
        <f t="shared" si="23"/>
        <v>0</v>
      </c>
      <c r="AK106" s="4"/>
      <c r="AL106">
        <f>SQRT((2+(($AL$3+Table4[[#This Row],[Red]])/2)/256)*($AL$3-Table4[[#This Row],[Red]])^2 + 4*($AM$3-Table4[[#This Row],[Green]])^2 + (2+(255-(($AL$3+Table4[[#This Row],[Red]])/2))/256 )*($AN$3-Table4[[#This Row],[Blue]])^2)</f>
        <v>566.78875963349435</v>
      </c>
      <c r="AM106">
        <f>SQRT((2+(($AO$3+Table4[[#This Row],[Red2]])/2)/256)*($AO$3-Table4[[#This Row],[Red2]])^2 + 4*($AP$3-Table4[[#This Row],[Green2]])^2 + (2+(255-(($AO$3+Table4[[#This Row],[Red2]])/2))/256 )*($AQ$3-Table4[[#This Row],[Blue2]])^2)</f>
        <v>580.65437055693894</v>
      </c>
      <c r="AN106">
        <f>SQRT(Table4[[#This Row],[diffPrimary]]^2+Table4[[#This Row],[diffSecondary]]^2)</f>
        <v>811.42405442145355</v>
      </c>
      <c r="AO106" s="2">
        <f>SQRT((2+(($AL$3+Table4[[#This Row],[Red2]])/2)/256)*($AL$3-Table4[[#This Row],[Red2]])^2 + 4*($AM$3-Table4[[#This Row],[Green2]])^2 + (2+(255-(($AL$3+Table4[[#This Row],[Red2]])/2))/256 )*($AN$3-Table4[[#This Row],[Blue2]])^2)</f>
        <v>8</v>
      </c>
      <c r="AP106" s="2">
        <f>SQRT((2+(($AO$3+Table4[[#This Row],[Red]])/2)/256)*($AO$3-Table4[[#This Row],[Red]])^2 + 4*($AP$3-Table4[[#This Row],[Green]])^2 + (2+(255-(($AO$3+Table4[[#This Row],[Red]])/2))/256 )*($AQ$3-Table4[[#This Row],[Blue]])^2)</f>
        <v>295.13386793114745</v>
      </c>
      <c r="AQ106" s="2">
        <f>SQRT(Table4[[#This Row],[diffPrimary2]]^2+Table4[[#This Row],[diffSecondary2]]^2)</f>
        <v>295.24227339593494</v>
      </c>
      <c r="AR106" s="786">
        <f>MIN(Table4[[#This Row],[MinOrig]],Table4[[#This Row],[MinSwap]])</f>
        <v>295.24227339593494</v>
      </c>
      <c r="AS106" s="2">
        <v>61.051495937855599</v>
      </c>
      <c r="AX106" s="4"/>
    </row>
    <row r="107" spans="1:50" x14ac:dyDescent="0.25">
      <c r="A107" t="s">
        <v>337</v>
      </c>
      <c r="B107">
        <v>136</v>
      </c>
      <c r="C107">
        <v>110</v>
      </c>
      <c r="D107">
        <v>76</v>
      </c>
      <c r="E107" s="627"/>
      <c r="F107">
        <v>0</v>
      </c>
      <c r="G107">
        <v>0</v>
      </c>
      <c r="H107">
        <v>0</v>
      </c>
      <c r="I107" s="4"/>
      <c r="J107">
        <v>199</v>
      </c>
      <c r="K107">
        <v>179</v>
      </c>
      <c r="L107">
        <v>127</v>
      </c>
      <c r="M107" s="628"/>
      <c r="Q107" s="4"/>
      <c r="U107" s="4"/>
      <c r="Y107" s="4"/>
      <c r="Z107">
        <f t="shared" si="12"/>
        <v>127.5</v>
      </c>
      <c r="AA107">
        <f t="shared" si="13"/>
        <v>127.5</v>
      </c>
      <c r="AB107">
        <f t="shared" si="14"/>
        <v>127.5</v>
      </c>
      <c r="AC107" s="32"/>
      <c r="AD107">
        <f t="shared" si="15"/>
        <v>0</v>
      </c>
      <c r="AE107">
        <f t="shared" si="16"/>
        <v>0</v>
      </c>
      <c r="AF107">
        <f t="shared" si="17"/>
        <v>0</v>
      </c>
      <c r="AG107" s="4"/>
      <c r="AH107">
        <f t="shared" si="21"/>
        <v>255</v>
      </c>
      <c r="AI107">
        <f t="shared" si="22"/>
        <v>127.5</v>
      </c>
      <c r="AJ107">
        <f t="shared" si="23"/>
        <v>127.5</v>
      </c>
      <c r="AK107" s="25"/>
      <c r="AL107">
        <f>SQRT((2+(($AL$3+Table4[[#This Row],[Red]])/2)/256)*($AL$3-Table4[[#This Row],[Red]])^2 + 4*($AM$3-Table4[[#This Row],[Green]])^2 + (2+(255-(($AL$3+Table4[[#This Row],[Red]])/2))/256 )*($AN$3-Table4[[#This Row],[Blue]])^2)</f>
        <v>296.86836505743582</v>
      </c>
      <c r="AM107">
        <f>SQRT((2+(($AO$3+Table4[[#This Row],[Red2]])/2)/256)*($AO$3-Table4[[#This Row],[Red2]])^2 + 4*($AP$3-Table4[[#This Row],[Green2]])^2 + (2+(255-(($AO$3+Table4[[#This Row],[Red2]])/2))/256 )*($AQ$3-Table4[[#This Row],[Blue2]])^2)</f>
        <v>0</v>
      </c>
      <c r="AN107">
        <f>SQRT(Table4[[#This Row],[diffPrimary]]^2+Table4[[#This Row],[diffSecondary]]^2)</f>
        <v>296.86836505743582</v>
      </c>
      <c r="AO107" s="2">
        <f>SQRT((2+(($AL$3+Table4[[#This Row],[Red2]])/2)/256)*($AL$3-Table4[[#This Row],[Red2]])^2 + 4*($AM$3-Table4[[#This Row],[Green2]])^2 + (2+(255-(($AL$3+Table4[[#This Row],[Red2]])/2))/256 )*($AN$3-Table4[[#This Row],[Blue2]])^2)</f>
        <v>574.92216694686158</v>
      </c>
      <c r="AP107" s="2">
        <f>SQRT((2+(($AO$3+Table4[[#This Row],[Red]])/2)/256)*($AO$3-Table4[[#This Row],[Red]])^2 + 4*($AP$3-Table4[[#This Row],[Green]])^2 + (2+(255-(($AO$3+Table4[[#This Row],[Red]])/2))/256 )*($AQ$3-Table4[[#This Row],[Blue]])^2)</f>
        <v>325.69339492842039</v>
      </c>
      <c r="AQ107" s="2">
        <f>SQRT(Table4[[#This Row],[diffPrimary2]]^2+Table4[[#This Row],[diffSecondary2]]^2)</f>
        <v>660.76598395110727</v>
      </c>
      <c r="AR107" s="786">
        <f>MIN(Table4[[#This Row],[MinOrig]],Table4[[#This Row],[MinSwap]])</f>
        <v>296.86836505743582</v>
      </c>
      <c r="AS107" s="2">
        <v>4.0716243687255798</v>
      </c>
      <c r="AX107" s="4"/>
    </row>
    <row r="108" spans="1:50" x14ac:dyDescent="0.25">
      <c r="A108" t="s">
        <v>193</v>
      </c>
      <c r="B108">
        <v>0</v>
      </c>
      <c r="C108">
        <v>122</v>
      </c>
      <c r="D108">
        <v>83</v>
      </c>
      <c r="E108" s="396"/>
      <c r="F108">
        <v>243</v>
      </c>
      <c r="G108">
        <v>208</v>
      </c>
      <c r="H108">
        <v>62</v>
      </c>
      <c r="I108" s="397"/>
      <c r="J108">
        <v>84</v>
      </c>
      <c r="K108">
        <v>88</v>
      </c>
      <c r="L108">
        <v>90</v>
      </c>
      <c r="M108" s="398"/>
      <c r="Q108" s="4"/>
      <c r="U108" s="4"/>
      <c r="Y108" s="4"/>
      <c r="Z108">
        <f t="shared" si="12"/>
        <v>0</v>
      </c>
      <c r="AA108">
        <f t="shared" si="13"/>
        <v>127.5</v>
      </c>
      <c r="AB108">
        <f t="shared" si="14"/>
        <v>127.5</v>
      </c>
      <c r="AC108" s="24"/>
      <c r="AD108">
        <f t="shared" si="15"/>
        <v>255</v>
      </c>
      <c r="AE108">
        <f t="shared" si="16"/>
        <v>255</v>
      </c>
      <c r="AF108">
        <f t="shared" si="17"/>
        <v>0</v>
      </c>
      <c r="AG108" s="9"/>
      <c r="AH108">
        <f t="shared" si="21"/>
        <v>127.5</v>
      </c>
      <c r="AI108">
        <f t="shared" si="22"/>
        <v>127.5</v>
      </c>
      <c r="AJ108">
        <f t="shared" si="23"/>
        <v>127.5</v>
      </c>
      <c r="AK108" s="32"/>
      <c r="AL108">
        <f>SQRT((2+(($AL$3+Table4[[#This Row],[Red]])/2)/256)*($AL$3-Table4[[#This Row],[Red]])^2 + 4*($AM$3-Table4[[#This Row],[Green]])^2 + (2+(255-(($AL$3+Table4[[#This Row],[Red]])/2))/256 )*($AN$3-Table4[[#This Row],[Blue]])^2)</f>
        <v>455.19286348618209</v>
      </c>
      <c r="AM108">
        <f>SQRT((2+(($AO$3+Table4[[#This Row],[Red2]])/2)/256)*($AO$3-Table4[[#This Row],[Red2]])^2 + 4*($AP$3-Table4[[#This Row],[Green2]])^2 + (2+(255-(($AO$3+Table4[[#This Row],[Red2]])/2))/256 )*($AQ$3-Table4[[#This Row],[Blue2]])^2)</f>
        <v>573.4734474427521</v>
      </c>
      <c r="AN108">
        <f>SQRT(Table4[[#This Row],[diffPrimary]]^2+Table4[[#This Row],[diffSecondary]]^2)</f>
        <v>732.16961005673068</v>
      </c>
      <c r="AO108" s="2">
        <f>SQRT((2+(($AL$3+Table4[[#This Row],[Red2]])/2)/256)*($AL$3-Table4[[#This Row],[Red2]])^2 + 4*($AM$3-Table4[[#This Row],[Green2]])^2 + (2+(255-(($AL$3+Table4[[#This Row],[Red2]])/2))/256 )*($AN$3-Table4[[#This Row],[Blue2]])^2)</f>
        <v>90.786321932326345</v>
      </c>
      <c r="AP108" s="2">
        <f>SQRT((2+(($AO$3+Table4[[#This Row],[Red]])/2)/256)*($AO$3-Table4[[#This Row],[Red]])^2 + 4*($AP$3-Table4[[#This Row],[Green]])^2 + (2+(255-(($AO$3+Table4[[#This Row],[Red]])/2))/256 )*($AQ$3-Table4[[#This Row],[Blue]])^2)</f>
        <v>283.15382717482385</v>
      </c>
      <c r="AQ108" s="2">
        <f>SQRT(Table4[[#This Row],[diffPrimary2]]^2+Table4[[#This Row],[diffSecondary2]]^2)</f>
        <v>297.35205749035941</v>
      </c>
      <c r="AR108" s="786">
        <f>MIN(Table4[[#This Row],[MinOrig]],Table4[[#This Row],[MinSwap]])</f>
        <v>297.35205749035941</v>
      </c>
      <c r="AS108" s="2">
        <v>99.091714934953103</v>
      </c>
      <c r="AX108" s="4"/>
    </row>
    <row r="109" spans="1:50" x14ac:dyDescent="0.25">
      <c r="A109" t="s">
        <v>316</v>
      </c>
      <c r="B109">
        <v>0</v>
      </c>
      <c r="C109">
        <v>0</v>
      </c>
      <c r="D109">
        <v>0</v>
      </c>
      <c r="E109" s="4"/>
      <c r="F109">
        <v>134</v>
      </c>
      <c r="G109">
        <v>109</v>
      </c>
      <c r="H109">
        <v>75</v>
      </c>
      <c r="I109" s="613"/>
      <c r="M109" s="4"/>
      <c r="Q109" s="4"/>
      <c r="U109" s="4"/>
      <c r="Y109" s="4"/>
      <c r="Z109">
        <f t="shared" si="12"/>
        <v>0</v>
      </c>
      <c r="AA109">
        <f t="shared" si="13"/>
        <v>0</v>
      </c>
      <c r="AB109">
        <f t="shared" si="14"/>
        <v>0</v>
      </c>
      <c r="AC109" s="4"/>
      <c r="AD109">
        <f t="shared" si="15"/>
        <v>127.5</v>
      </c>
      <c r="AE109">
        <f t="shared" si="16"/>
        <v>127.5</v>
      </c>
      <c r="AF109">
        <f t="shared" si="17"/>
        <v>127.5</v>
      </c>
      <c r="AG109" s="32"/>
      <c r="AH109">
        <f t="shared" si="21"/>
        <v>0</v>
      </c>
      <c r="AI109">
        <f t="shared" si="22"/>
        <v>0</v>
      </c>
      <c r="AJ109">
        <f t="shared" si="23"/>
        <v>0</v>
      </c>
      <c r="AK109" s="4"/>
      <c r="AL109">
        <f>SQRT((2+(($AL$3+Table4[[#This Row],[Red]])/2)/256)*($AL$3-Table4[[#This Row],[Red]])^2 + 4*($AM$3-Table4[[#This Row],[Green]])^2 + (2+(255-(($AL$3+Table4[[#This Row],[Red]])/2))/256 )*($AN$3-Table4[[#This Row],[Blue]])^2)</f>
        <v>574.92216694686158</v>
      </c>
      <c r="AM109">
        <f>SQRT((2+(($AO$3+Table4[[#This Row],[Red2]])/2)/256)*($AO$3-Table4[[#This Row],[Red2]])^2 + 4*($AP$3-Table4[[#This Row],[Green2]])^2 + (2+(255-(($AO$3+Table4[[#This Row],[Red2]])/2))/256 )*($AQ$3-Table4[[#This Row],[Blue2]])^2)</f>
        <v>321.73946175438289</v>
      </c>
      <c r="AN109">
        <f>SQRT(Table4[[#This Row],[diffPrimary]]^2+Table4[[#This Row],[diffSecondary]]^2)</f>
        <v>658.82606148882348</v>
      </c>
      <c r="AO109" s="2">
        <f>SQRT((2+(($AL$3+Table4[[#This Row],[Red2]])/2)/256)*($AL$3-Table4[[#This Row],[Red2]])^2 + 4*($AM$3-Table4[[#This Row],[Green2]])^2 + (2+(255-(($AL$3+Table4[[#This Row],[Red2]])/2))/256 )*($AN$3-Table4[[#This Row],[Blue2]])^2)</f>
        <v>299.74835148629256</v>
      </c>
      <c r="AP109" s="2">
        <f>SQRT((2+(($AO$3+Table4[[#This Row],[Red]])/2)/256)*($AO$3-Table4[[#This Row],[Red]])^2 + 4*($AP$3-Table4[[#This Row],[Green]])^2 + (2+(255-(($AO$3+Table4[[#This Row],[Red]])/2))/256 )*($AQ$3-Table4[[#This Row],[Blue]])^2)</f>
        <v>0</v>
      </c>
      <c r="AQ109" s="2">
        <f>SQRT(Table4[[#This Row],[diffPrimary2]]^2+Table4[[#This Row],[diffSecondary2]]^2)</f>
        <v>299.74835148629256</v>
      </c>
      <c r="AR109" s="786">
        <f>MIN(Table4[[#This Row],[MinOrig]],Table4[[#This Row],[MinSwap]])</f>
        <v>299.74835148629256</v>
      </c>
      <c r="AS109" s="2">
        <v>4.0716243687255798</v>
      </c>
      <c r="AX109" s="4"/>
    </row>
    <row r="110" spans="1:50" x14ac:dyDescent="0.25">
      <c r="A110" t="s">
        <v>332</v>
      </c>
      <c r="B110">
        <v>108</v>
      </c>
      <c r="C110">
        <v>64</v>
      </c>
      <c r="D110">
        <v>35</v>
      </c>
      <c r="E110" s="571"/>
      <c r="F110">
        <v>181</v>
      </c>
      <c r="G110">
        <v>162</v>
      </c>
      <c r="H110">
        <v>104</v>
      </c>
      <c r="I110" s="572"/>
      <c r="J110">
        <v>169</v>
      </c>
      <c r="K110">
        <v>168</v>
      </c>
      <c r="L110">
        <v>169</v>
      </c>
      <c r="M110" s="573"/>
      <c r="N110">
        <v>0</v>
      </c>
      <c r="O110">
        <v>0</v>
      </c>
      <c r="P110">
        <v>0</v>
      </c>
      <c r="Q110" s="4"/>
      <c r="R110">
        <v>255</v>
      </c>
      <c r="S110">
        <v>255</v>
      </c>
      <c r="T110">
        <v>255</v>
      </c>
      <c r="U110" s="3"/>
      <c r="Y110" s="4"/>
      <c r="Z110">
        <f t="shared" si="12"/>
        <v>127.5</v>
      </c>
      <c r="AA110">
        <f t="shared" si="13"/>
        <v>127.5</v>
      </c>
      <c r="AB110">
        <f t="shared" si="14"/>
        <v>0</v>
      </c>
      <c r="AC110" s="33"/>
      <c r="AD110">
        <f t="shared" si="15"/>
        <v>127.5</v>
      </c>
      <c r="AE110">
        <f t="shared" si="16"/>
        <v>127.5</v>
      </c>
      <c r="AF110">
        <f t="shared" si="17"/>
        <v>127.5</v>
      </c>
      <c r="AG110" s="32"/>
      <c r="AH110">
        <f t="shared" si="21"/>
        <v>127.5</v>
      </c>
      <c r="AI110">
        <f t="shared" si="22"/>
        <v>127.5</v>
      </c>
      <c r="AJ110">
        <f t="shared" si="23"/>
        <v>127.5</v>
      </c>
      <c r="AK110" s="32"/>
      <c r="AL110">
        <f>SQRT((2+(($AL$3+Table4[[#This Row],[Red]])/2)/256)*($AL$3-Table4[[#This Row],[Red]])^2 + 4*($AM$3-Table4[[#This Row],[Green]])^2 + (2+(255-(($AL$3+Table4[[#This Row],[Red]])/2))/256 )*($AN$3-Table4[[#This Row],[Blue]])^2)</f>
        <v>375.31873433623053</v>
      </c>
      <c r="AM110">
        <f>SQRT((2+(($AO$3+Table4[[#This Row],[Red2]])/2)/256)*($AO$3-Table4[[#This Row],[Red2]])^2 + 4*($AP$3-Table4[[#This Row],[Green2]])^2 + (2+(255-(($AO$3+Table4[[#This Row],[Red2]])/2))/256 )*($AQ$3-Table4[[#This Row],[Blue2]])^2)</f>
        <v>458.97892151015498</v>
      </c>
      <c r="AN110">
        <f>SQRT(Table4[[#This Row],[diffPrimary]]^2+Table4[[#This Row],[diffSecondary]]^2)</f>
        <v>592.89611462243113</v>
      </c>
      <c r="AO110" s="2">
        <f>SQRT((2+(($AL$3+Table4[[#This Row],[Red2]])/2)/256)*($AL$3-Table4[[#This Row],[Red2]])^2 + 4*($AM$3-Table4[[#This Row],[Green2]])^2 + (2+(255-(($AL$3+Table4[[#This Row],[Red2]])/2))/256 )*($AN$3-Table4[[#This Row],[Blue2]])^2)</f>
        <v>214.95675437166426</v>
      </c>
      <c r="AP110" s="2">
        <f>SQRT((2+(($AO$3+Table4[[#This Row],[Red]])/2)/256)*($AO$3-Table4[[#This Row],[Red]])^2 + 4*($AP$3-Table4[[#This Row],[Green]])^2 + (2+(255-(($AO$3+Table4[[#This Row],[Red]])/2))/256 )*($AQ$3-Table4[[#This Row],[Blue]])^2)</f>
        <v>213.5045465704419</v>
      </c>
      <c r="AQ110" s="2">
        <f>SQRT(Table4[[#This Row],[diffPrimary2]]^2+Table4[[#This Row],[diffSecondary2]]^2)</f>
        <v>302.96963157427183</v>
      </c>
      <c r="AR110" s="786">
        <f>MIN(Table4[[#This Row],[MinOrig]],Table4[[#This Row],[MinSwap]])</f>
        <v>302.96963157427183</v>
      </c>
      <c r="AS110" s="2">
        <v>98.008898272682401</v>
      </c>
      <c r="AX110" s="4"/>
    </row>
    <row r="111" spans="1:50" x14ac:dyDescent="0.25">
      <c r="A111" t="s">
        <v>182</v>
      </c>
      <c r="B111">
        <v>255</v>
      </c>
      <c r="C111">
        <v>69</v>
      </c>
      <c r="D111">
        <v>0</v>
      </c>
      <c r="E111" s="384"/>
      <c r="F111">
        <v>0</v>
      </c>
      <c r="G111">
        <v>33</v>
      </c>
      <c r="H111">
        <v>68</v>
      </c>
      <c r="I111" s="385"/>
      <c r="J111">
        <v>255</v>
      </c>
      <c r="K111">
        <v>255</v>
      </c>
      <c r="L111">
        <v>255</v>
      </c>
      <c r="M111" s="3"/>
      <c r="Q111" s="4"/>
      <c r="U111" s="4"/>
      <c r="Y111" s="4"/>
      <c r="Z111">
        <f t="shared" si="12"/>
        <v>255</v>
      </c>
      <c r="AA111">
        <f t="shared" si="13"/>
        <v>127.5</v>
      </c>
      <c r="AB111">
        <f t="shared" si="14"/>
        <v>0</v>
      </c>
      <c r="AC111" s="28"/>
      <c r="AD111">
        <f t="shared" si="15"/>
        <v>0</v>
      </c>
      <c r="AE111">
        <f t="shared" si="16"/>
        <v>0</v>
      </c>
      <c r="AF111">
        <f t="shared" si="17"/>
        <v>127.5</v>
      </c>
      <c r="AG111" s="26"/>
      <c r="AH111">
        <f t="shared" si="21"/>
        <v>255</v>
      </c>
      <c r="AI111">
        <f t="shared" si="22"/>
        <v>255</v>
      </c>
      <c r="AJ111">
        <f t="shared" si="23"/>
        <v>255</v>
      </c>
      <c r="AK111" s="3"/>
      <c r="AL111">
        <f>SQRT((2+(($AL$3+Table4[[#This Row],[Red]])/2)/256)*($AL$3-Table4[[#This Row],[Red]])^2 + 4*($AM$3-Table4[[#This Row],[Green]])^2 + (2+(255-(($AL$3+Table4[[#This Row],[Red]])/2))/256 )*($AN$3-Table4[[#This Row],[Blue]])^2)</f>
        <v>272</v>
      </c>
      <c r="AM111">
        <f>SQRT((2+(($AO$3+Table4[[#This Row],[Red2]])/2)/256)*($AO$3-Table4[[#This Row],[Red2]])^2 + 4*($AP$3-Table4[[#This Row],[Green2]])^2 + (2+(255-(($AO$3+Table4[[#This Row],[Red2]])/2))/256 )*($AQ$3-Table4[[#This Row],[Blue2]])^2)</f>
        <v>134.94420143155466</v>
      </c>
      <c r="AN111">
        <f>SQRT(Table4[[#This Row],[diffPrimary]]^2+Table4[[#This Row],[diffSecondary]]^2)</f>
        <v>303.63454595944779</v>
      </c>
      <c r="AO111" s="2">
        <f>SQRT((2+(($AL$3+Table4[[#This Row],[Red2]])/2)/256)*($AL$3-Table4[[#This Row],[Red2]])^2 + 4*($AM$3-Table4[[#This Row],[Green2]])^2 + (2+(255-(($AL$3+Table4[[#This Row],[Red2]])/2))/256 )*($AN$3-Table4[[#This Row],[Blue2]])^2)</f>
        <v>540.66853690304094</v>
      </c>
      <c r="AP111" s="2">
        <f>SQRT((2+(($AO$3+Table4[[#This Row],[Red]])/2)/256)*($AO$3-Table4[[#This Row],[Red]])^2 + 4*($AP$3-Table4[[#This Row],[Green]])^2 + (2+(255-(($AO$3+Table4[[#This Row],[Red]])/2))/256 )*($AQ$3-Table4[[#This Row],[Blue]])^2)</f>
        <v>426.00410566903577</v>
      </c>
      <c r="AQ111" s="2">
        <f>SQRT(Table4[[#This Row],[diffPrimary2]]^2+Table4[[#This Row],[diffSecondary2]]^2)</f>
        <v>688.33274282410093</v>
      </c>
      <c r="AR111" s="786">
        <f>MIN(Table4[[#This Row],[MinOrig]],Table4[[#This Row],[MinSwap]])</f>
        <v>303.63454595944779</v>
      </c>
      <c r="AS111" s="2">
        <v>71.024093623220594</v>
      </c>
      <c r="AX111" s="4"/>
    </row>
    <row r="112" spans="1:50" x14ac:dyDescent="0.25">
      <c r="A112" t="s">
        <v>281</v>
      </c>
      <c r="B112">
        <v>255</v>
      </c>
      <c r="C112">
        <v>130</v>
      </c>
      <c r="D112">
        <v>0</v>
      </c>
      <c r="E112" s="610"/>
      <c r="F112">
        <v>88</v>
      </c>
      <c r="G112">
        <v>89</v>
      </c>
      <c r="H112">
        <v>91</v>
      </c>
      <c r="I112" s="630"/>
      <c r="J112">
        <v>255</v>
      </c>
      <c r="K112">
        <v>255</v>
      </c>
      <c r="L112">
        <v>255</v>
      </c>
      <c r="M112" s="3"/>
      <c r="Q112" s="4"/>
      <c r="U112" s="4"/>
      <c r="Y112" s="4"/>
      <c r="Z112">
        <f t="shared" si="12"/>
        <v>255</v>
      </c>
      <c r="AA112">
        <f t="shared" si="13"/>
        <v>127.5</v>
      </c>
      <c r="AB112">
        <f t="shared" si="14"/>
        <v>0</v>
      </c>
      <c r="AC112" s="28"/>
      <c r="AD112">
        <f t="shared" si="15"/>
        <v>127.5</v>
      </c>
      <c r="AE112">
        <f t="shared" si="16"/>
        <v>127.5</v>
      </c>
      <c r="AF112">
        <f t="shared" si="17"/>
        <v>127.5</v>
      </c>
      <c r="AG112" s="32"/>
      <c r="AH112">
        <f t="shared" si="21"/>
        <v>255</v>
      </c>
      <c r="AI112">
        <f t="shared" si="22"/>
        <v>255</v>
      </c>
      <c r="AJ112">
        <f t="shared" si="23"/>
        <v>255</v>
      </c>
      <c r="AK112" s="3"/>
      <c r="AL112">
        <f>SQRT((2+(($AL$3+Table4[[#This Row],[Red]])/2)/256)*($AL$3-Table4[[#This Row],[Red]])^2 + 4*($AM$3-Table4[[#This Row],[Green]])^2 + (2+(255-(($AL$3+Table4[[#This Row],[Red]])/2))/256 )*($AN$3-Table4[[#This Row],[Blue]])^2)</f>
        <v>150</v>
      </c>
      <c r="AM112">
        <f>SQRT((2+(($AO$3+Table4[[#This Row],[Red2]])/2)/256)*($AO$3-Table4[[#This Row],[Red2]])^2 + 4*($AP$3-Table4[[#This Row],[Green2]])^2 + (2+(255-(($AO$3+Table4[[#This Row],[Red2]])/2))/256 )*($AQ$3-Table4[[#This Row],[Blue2]])^2)</f>
        <v>268.12376893656779</v>
      </c>
      <c r="AN112">
        <f>SQRT(Table4[[#This Row],[diffPrimary]]^2+Table4[[#This Row],[diffSecondary]]^2)</f>
        <v>307.23013437608944</v>
      </c>
      <c r="AO112" s="2">
        <f>SQRT((2+(($AL$3+Table4[[#This Row],[Red2]])/2)/256)*($AL$3-Table4[[#This Row],[Red2]])^2 + 4*($AM$3-Table4[[#This Row],[Green2]])^2 + (2+(255-(($AL$3+Table4[[#This Row],[Red2]])/2))/256 )*($AN$3-Table4[[#This Row],[Blue2]])^2)</f>
        <v>384.12039840231085</v>
      </c>
      <c r="AP112" s="2">
        <f>SQRT((2+(($AO$3+Table4[[#This Row],[Red]])/2)/256)*($AO$3-Table4[[#This Row],[Red]])^2 + 4*($AP$3-Table4[[#This Row],[Green]])^2 + (2+(255-(($AO$3+Table4[[#This Row],[Red]])/2))/256 )*($AQ$3-Table4[[#This Row],[Blue]])^2)</f>
        <v>479.62016017560711</v>
      </c>
      <c r="AQ112" s="2">
        <f>SQRT(Table4[[#This Row],[diffPrimary2]]^2+Table4[[#This Row],[diffSecondary2]]^2)</f>
        <v>614.47862331868396</v>
      </c>
      <c r="AR112" s="786">
        <f>MIN(Table4[[#This Row],[MinOrig]],Table4[[#This Row],[MinSwap]])</f>
        <v>307.23013437608944</v>
      </c>
      <c r="AS112" s="2">
        <v>108.317882511961</v>
      </c>
      <c r="AX112" s="4"/>
    </row>
    <row r="113" spans="1:50" x14ac:dyDescent="0.25">
      <c r="A113" t="s">
        <v>319</v>
      </c>
      <c r="B113">
        <v>35</v>
      </c>
      <c r="C113">
        <v>45</v>
      </c>
      <c r="D113">
        <v>75</v>
      </c>
      <c r="E113" s="616"/>
      <c r="F113">
        <v>248</v>
      </c>
      <c r="G113">
        <v>76</v>
      </c>
      <c r="H113">
        <v>30</v>
      </c>
      <c r="I113" s="617"/>
      <c r="J113">
        <v>255</v>
      </c>
      <c r="K113">
        <v>255</v>
      </c>
      <c r="L113">
        <v>255</v>
      </c>
      <c r="M113" s="3"/>
      <c r="Q113" s="4"/>
      <c r="U113" s="4"/>
      <c r="Y113" s="4"/>
      <c r="Z113">
        <f t="shared" si="12"/>
        <v>0</v>
      </c>
      <c r="AA113">
        <f t="shared" si="13"/>
        <v>0</v>
      </c>
      <c r="AB113">
        <f t="shared" si="14"/>
        <v>127.5</v>
      </c>
      <c r="AC113" s="26"/>
      <c r="AD113">
        <f t="shared" si="15"/>
        <v>255</v>
      </c>
      <c r="AE113">
        <f t="shared" si="16"/>
        <v>127.5</v>
      </c>
      <c r="AF113">
        <f t="shared" si="17"/>
        <v>0</v>
      </c>
      <c r="AG113" s="28"/>
      <c r="AH113">
        <f t="shared" si="21"/>
        <v>255</v>
      </c>
      <c r="AI113">
        <f t="shared" si="22"/>
        <v>255</v>
      </c>
      <c r="AJ113">
        <f t="shared" si="23"/>
        <v>255</v>
      </c>
      <c r="AK113" s="3"/>
      <c r="AL113">
        <f>SQRT((2+(($AL$3+Table4[[#This Row],[Red]])/2)/256)*($AL$3-Table4[[#This Row],[Red]])^2 + 4*($AM$3-Table4[[#This Row],[Green]])^2 + (2+(255-(($AL$3+Table4[[#This Row],[Red]])/2))/256 )*($AN$3-Table4[[#This Row],[Blue]])^2)</f>
        <v>490.18471486522304</v>
      </c>
      <c r="AM113">
        <f>SQRT((2+(($AO$3+Table4[[#This Row],[Red2]])/2)/256)*($AO$3-Table4[[#This Row],[Red2]])^2 + 4*($AP$3-Table4[[#This Row],[Green2]])^2 + (2+(255-(($AO$3+Table4[[#This Row],[Red2]])/2))/256 )*($AQ$3-Table4[[#This Row],[Blue2]])^2)</f>
        <v>422.09423932932322</v>
      </c>
      <c r="AN113">
        <f>SQRT(Table4[[#This Row],[diffPrimary]]^2+Table4[[#This Row],[diffSecondary]]^2)</f>
        <v>646.87294081797859</v>
      </c>
      <c r="AO113" s="2">
        <f>SQRT((2+(($AL$3+Table4[[#This Row],[Red2]])/2)/256)*($AL$3-Table4[[#This Row],[Red2]])^2 + 4*($AM$3-Table4[[#This Row],[Green2]])^2 + (2+(255-(($AL$3+Table4[[#This Row],[Red2]])/2))/256 )*($AN$3-Table4[[#This Row],[Blue2]])^2)</f>
        <v>261.76791888880308</v>
      </c>
      <c r="AP113" s="2">
        <f>SQRT((2+(($AO$3+Table4[[#This Row],[Red]])/2)/256)*($AO$3-Table4[[#This Row],[Red]])^2 + 4*($AP$3-Table4[[#This Row],[Green]])^2 + (2+(255-(($AO$3+Table4[[#This Row],[Red]])/2))/256 )*($AQ$3-Table4[[#This Row],[Blue]])^2)</f>
        <v>164.62759821412084</v>
      </c>
      <c r="AQ113" s="2">
        <f>SQRT(Table4[[#This Row],[diffPrimary2]]^2+Table4[[#This Row],[diffSecondary2]]^2)</f>
        <v>309.23241979638067</v>
      </c>
      <c r="AR113" s="786">
        <f>MIN(Table4[[#This Row],[MinOrig]],Table4[[#This Row],[MinSwap]])</f>
        <v>309.23241979638067</v>
      </c>
      <c r="AS113" s="2">
        <v>39.214105800719203</v>
      </c>
      <c r="AX113" s="4"/>
    </row>
    <row r="114" spans="1:50" x14ac:dyDescent="0.25">
      <c r="A114" t="s">
        <v>306</v>
      </c>
      <c r="B114">
        <v>95</v>
      </c>
      <c r="C114">
        <v>37</v>
      </c>
      <c r="D114">
        <v>159</v>
      </c>
      <c r="E114" s="270"/>
      <c r="F114">
        <v>254</v>
      </c>
      <c r="G114">
        <v>203</v>
      </c>
      <c r="H114">
        <v>0</v>
      </c>
      <c r="I114" s="600"/>
      <c r="J114">
        <v>0</v>
      </c>
      <c r="K114">
        <v>0</v>
      </c>
      <c r="L114">
        <v>0</v>
      </c>
      <c r="M114" s="4"/>
      <c r="N114">
        <v>220</v>
      </c>
      <c r="O114">
        <v>221</v>
      </c>
      <c r="P114">
        <v>222</v>
      </c>
      <c r="Q114" s="601"/>
      <c r="U114" s="4"/>
      <c r="Y114" s="4"/>
      <c r="Z114">
        <f t="shared" si="12"/>
        <v>127.5</v>
      </c>
      <c r="AA114">
        <f t="shared" si="13"/>
        <v>0</v>
      </c>
      <c r="AB114">
        <f t="shared" si="14"/>
        <v>127.5</v>
      </c>
      <c r="AC114" s="30"/>
      <c r="AD114">
        <f t="shared" si="15"/>
        <v>255</v>
      </c>
      <c r="AE114">
        <f t="shared" si="16"/>
        <v>255</v>
      </c>
      <c r="AF114">
        <f t="shared" si="17"/>
        <v>0</v>
      </c>
      <c r="AG114" s="9"/>
      <c r="AH114">
        <f t="shared" si="21"/>
        <v>0</v>
      </c>
      <c r="AI114">
        <f t="shared" si="22"/>
        <v>0</v>
      </c>
      <c r="AJ114">
        <f t="shared" si="23"/>
        <v>0</v>
      </c>
      <c r="AK114" s="4"/>
      <c r="AL114">
        <f>SQRT((2+(($AL$3+Table4[[#This Row],[Red]])/2)/256)*($AL$3-Table4[[#This Row],[Red]])^2 + 4*($AM$3-Table4[[#This Row],[Green]])^2 + (2+(255-(($AL$3+Table4[[#This Row],[Red]])/2))/256 )*($AN$3-Table4[[#This Row],[Blue]])^2)</f>
        <v>489.95745988810091</v>
      </c>
      <c r="AM114">
        <f>SQRT((2+(($AO$3+Table4[[#This Row],[Red2]])/2)/256)*($AO$3-Table4[[#This Row],[Red2]])^2 + 4*($AP$3-Table4[[#This Row],[Green2]])^2 + (2+(255-(($AO$3+Table4[[#This Row],[Red2]])/2))/256 )*($AQ$3-Table4[[#This Row],[Blue2]])^2)</f>
        <v>570.85373290800158</v>
      </c>
      <c r="AN114">
        <f>SQRT(Table4[[#This Row],[diffPrimary]]^2+Table4[[#This Row],[diffSecondary]]^2)</f>
        <v>752.28471795923122</v>
      </c>
      <c r="AO114" s="2">
        <f>SQRT((2+(($AL$3+Table4[[#This Row],[Red2]])/2)/256)*($AL$3-Table4[[#This Row],[Red2]])^2 + 4*($AM$3-Table4[[#This Row],[Green2]])^2 + (2+(255-(($AL$3+Table4[[#This Row],[Red2]])/2))/256 )*($AN$3-Table4[[#This Row],[Blue2]])^2)</f>
        <v>4.3582267753066732</v>
      </c>
      <c r="AP114" s="2">
        <f>SQRT((2+(($AO$3+Table4[[#This Row],[Red]])/2)/256)*($AO$3-Table4[[#This Row],[Red]])^2 + 4*($AP$3-Table4[[#This Row],[Green]])^2 + (2+(255-(($AO$3+Table4[[#This Row],[Red]])/2))/256 )*($AQ$3-Table4[[#This Row],[Blue]])^2)</f>
        <v>310.24828137114633</v>
      </c>
      <c r="AQ114" s="2">
        <f>SQRT(Table4[[#This Row],[diffPrimary2]]^2+Table4[[#This Row],[diffSecondary2]]^2)</f>
        <v>310.27889105508768</v>
      </c>
      <c r="AR114" s="786">
        <f>MIN(Table4[[#This Row],[MinOrig]],Table4[[#This Row],[MinSwap]])</f>
        <v>310.27889105508768</v>
      </c>
      <c r="AS114" s="2">
        <v>62.437171545682602</v>
      </c>
      <c r="AX114" s="4"/>
    </row>
    <row r="115" spans="1:50" x14ac:dyDescent="0.25">
      <c r="A115" t="s">
        <v>325</v>
      </c>
      <c r="B115">
        <v>51</v>
      </c>
      <c r="C115">
        <v>0</v>
      </c>
      <c r="D115">
        <v>111</v>
      </c>
      <c r="E115" s="561"/>
      <c r="F115">
        <v>232</v>
      </c>
      <c r="G115">
        <v>211</v>
      </c>
      <c r="H115">
        <v>162</v>
      </c>
      <c r="I115" s="562"/>
      <c r="J115">
        <v>145</v>
      </c>
      <c r="K115">
        <v>123</v>
      </c>
      <c r="L115">
        <v>76</v>
      </c>
      <c r="M115" s="563"/>
      <c r="Q115" s="4"/>
      <c r="U115" s="4"/>
      <c r="Y115" s="4"/>
      <c r="Z115">
        <f t="shared" si="12"/>
        <v>0</v>
      </c>
      <c r="AA115">
        <f t="shared" si="13"/>
        <v>0</v>
      </c>
      <c r="AB115">
        <f t="shared" si="14"/>
        <v>127.5</v>
      </c>
      <c r="AC115" s="26"/>
      <c r="AD115">
        <f t="shared" si="15"/>
        <v>255</v>
      </c>
      <c r="AE115">
        <f t="shared" si="16"/>
        <v>255</v>
      </c>
      <c r="AF115">
        <f t="shared" si="17"/>
        <v>127.5</v>
      </c>
      <c r="AG115" s="29"/>
      <c r="AH115">
        <f t="shared" si="21"/>
        <v>127.5</v>
      </c>
      <c r="AI115">
        <f t="shared" si="22"/>
        <v>127.5</v>
      </c>
      <c r="AJ115">
        <f t="shared" si="23"/>
        <v>127.5</v>
      </c>
      <c r="AK115" s="32"/>
      <c r="AL115">
        <f>SQRT((2+(($AL$3+Table4[[#This Row],[Red]])/2)/256)*($AL$3-Table4[[#This Row],[Red]])^2 + 4*($AM$3-Table4[[#This Row],[Green]])^2 + (2+(255-(($AL$3+Table4[[#This Row],[Red]])/2))/256 )*($AN$3-Table4[[#This Row],[Blue]])^2)</f>
        <v>552.95136398918487</v>
      </c>
      <c r="AM115">
        <f>SQRT((2+(($AO$3+Table4[[#This Row],[Red2]])/2)/256)*($AO$3-Table4[[#This Row],[Red2]])^2 + 4*($AP$3-Table4[[#This Row],[Green2]])^2 + (2+(255-(($AO$3+Table4[[#This Row],[Red2]])/2))/256 )*($AQ$3-Table4[[#This Row],[Blue2]])^2)</f>
        <v>613.88815909333186</v>
      </c>
      <c r="AN115">
        <f>SQRT(Table4[[#This Row],[diffPrimary]]^2+Table4[[#This Row],[diffSecondary]]^2)</f>
        <v>826.20450423154921</v>
      </c>
      <c r="AO115" s="2">
        <f>SQRT((2+(($AL$3+Table4[[#This Row],[Red2]])/2)/256)*($AL$3-Table4[[#This Row],[Red2]])^2 + 4*($AM$3-Table4[[#This Row],[Green2]])^2 + (2+(255-(($AL$3+Table4[[#This Row],[Red2]])/2))/256 )*($AN$3-Table4[[#This Row],[Blue2]])^2)</f>
        <v>235.31276975416145</v>
      </c>
      <c r="AP115" s="2">
        <f>SQRT((2+(($AO$3+Table4[[#This Row],[Red]])/2)/256)*($AO$3-Table4[[#This Row],[Red]])^2 + 4*($AP$3-Table4[[#This Row],[Green]])^2 + (2+(255-(($AO$3+Table4[[#This Row],[Red]])/2))/256 )*($AQ$3-Table4[[#This Row],[Blue]])^2)</f>
        <v>202.85134450811509</v>
      </c>
      <c r="AQ115" s="2">
        <f>SQRT(Table4[[#This Row],[diffPrimary2]]^2+Table4[[#This Row],[diffSecondary2]]^2)</f>
        <v>310.67791614166111</v>
      </c>
      <c r="AR115" s="786">
        <f>MIN(Table4[[#This Row],[MinOrig]],Table4[[#This Row],[MinSwap]])</f>
        <v>310.67791614166111</v>
      </c>
      <c r="AS115" s="2">
        <v>108.033451127417</v>
      </c>
      <c r="AX115" s="4"/>
    </row>
    <row r="116" spans="1:50" x14ac:dyDescent="0.25">
      <c r="A116" t="s">
        <v>289</v>
      </c>
      <c r="B116">
        <v>80</v>
      </c>
      <c r="C116">
        <v>18</v>
      </c>
      <c r="D116">
        <v>20</v>
      </c>
      <c r="E116" s="539"/>
      <c r="F116">
        <v>141</v>
      </c>
      <c r="G116">
        <v>115</v>
      </c>
      <c r="H116">
        <v>74</v>
      </c>
      <c r="I116" s="540"/>
      <c r="M116" s="4"/>
      <c r="Q116" s="4"/>
      <c r="U116" s="4"/>
      <c r="Y116" s="4"/>
      <c r="Z116">
        <f t="shared" si="12"/>
        <v>127.5</v>
      </c>
      <c r="AA116">
        <f t="shared" si="13"/>
        <v>0</v>
      </c>
      <c r="AB116">
        <f t="shared" si="14"/>
        <v>0</v>
      </c>
      <c r="AC116" s="27"/>
      <c r="AD116">
        <f t="shared" si="15"/>
        <v>127.5</v>
      </c>
      <c r="AE116">
        <f t="shared" si="16"/>
        <v>127.5</v>
      </c>
      <c r="AF116">
        <f t="shared" si="17"/>
        <v>127.5</v>
      </c>
      <c r="AG116" s="32"/>
      <c r="AH116">
        <f t="shared" si="21"/>
        <v>0</v>
      </c>
      <c r="AI116">
        <f t="shared" si="22"/>
        <v>0</v>
      </c>
      <c r="AJ116">
        <f t="shared" si="23"/>
        <v>0</v>
      </c>
      <c r="AK116" s="4"/>
      <c r="AL116">
        <f>SQRT((2+(($AL$3+Table4[[#This Row],[Red]])/2)/256)*($AL$3-Table4[[#This Row],[Red]])^2 + 4*($AM$3-Table4[[#This Row],[Green]])^2 + (2+(255-(($AL$3+Table4[[#This Row],[Red]])/2))/256 )*($AN$3-Table4[[#This Row],[Blue]])^2)</f>
        <v>471.27546143086528</v>
      </c>
      <c r="AM116">
        <f>SQRT((2+(($AO$3+Table4[[#This Row],[Red2]])/2)/256)*($AO$3-Table4[[#This Row],[Red2]])^2 + 4*($AP$3-Table4[[#This Row],[Green2]])^2 + (2+(255-(($AO$3+Table4[[#This Row],[Red2]])/2))/256 )*($AQ$3-Table4[[#This Row],[Blue2]])^2)</f>
        <v>336.20769076290475</v>
      </c>
      <c r="AN116">
        <f>SQRT(Table4[[#This Row],[diffPrimary]]^2+Table4[[#This Row],[diffSecondary]]^2)</f>
        <v>578.90946777108422</v>
      </c>
      <c r="AO116" s="2">
        <f>SQRT((2+(($AL$3+Table4[[#This Row],[Red2]])/2)/256)*($AL$3-Table4[[#This Row],[Red2]])^2 + 4*($AM$3-Table4[[#This Row],[Green2]])^2 + (2+(255-(($AL$3+Table4[[#This Row],[Red2]])/2))/256 )*($AN$3-Table4[[#This Row],[Blue2]])^2)</f>
        <v>283.92756008355371</v>
      </c>
      <c r="AP116" s="2">
        <f>SQRT((2+(($AO$3+Table4[[#This Row],[Red]])/2)/256)*($AO$3-Table4[[#This Row],[Red]])^2 + 4*($AP$3-Table4[[#This Row],[Green]])^2 + (2+(255-(($AO$3+Table4[[#This Row],[Red]])/2))/256 )*($AQ$3-Table4[[#This Row],[Blue]])^2)</f>
        <v>127.40462118777324</v>
      </c>
      <c r="AQ116" s="2">
        <f>SQRT(Table4[[#This Row],[diffPrimary2]]^2+Table4[[#This Row],[diffSecondary2]]^2)</f>
        <v>311.20218006145137</v>
      </c>
      <c r="AR116" s="786">
        <f>MIN(Table4[[#This Row],[MinOrig]],Table4[[#This Row],[MinSwap]])</f>
        <v>311.20218006145137</v>
      </c>
      <c r="AS116" s="2">
        <v>104.623581232913</v>
      </c>
      <c r="AX116" s="4"/>
    </row>
    <row r="117" spans="1:50" x14ac:dyDescent="0.25">
      <c r="A117" t="s">
        <v>117</v>
      </c>
      <c r="B117">
        <v>19</v>
      </c>
      <c r="C117">
        <v>41</v>
      </c>
      <c r="D117">
        <v>75</v>
      </c>
      <c r="E117" s="127"/>
      <c r="F117">
        <v>232</v>
      </c>
      <c r="G117">
        <v>74</v>
      </c>
      <c r="H117">
        <v>39</v>
      </c>
      <c r="I117" s="292"/>
      <c r="M117" s="4"/>
      <c r="Q117" s="4"/>
      <c r="U117" s="4"/>
      <c r="Y117" s="4"/>
      <c r="Z117">
        <f t="shared" si="12"/>
        <v>0</v>
      </c>
      <c r="AA117">
        <f t="shared" si="13"/>
        <v>0</v>
      </c>
      <c r="AB117">
        <f t="shared" si="14"/>
        <v>127.5</v>
      </c>
      <c r="AC117" s="26"/>
      <c r="AD117">
        <f t="shared" si="15"/>
        <v>255</v>
      </c>
      <c r="AE117">
        <f t="shared" si="16"/>
        <v>127.5</v>
      </c>
      <c r="AF117">
        <f t="shared" si="17"/>
        <v>0</v>
      </c>
      <c r="AG117" s="28"/>
      <c r="AH117">
        <f t="shared" si="21"/>
        <v>0</v>
      </c>
      <c r="AI117">
        <f t="shared" si="22"/>
        <v>0</v>
      </c>
      <c r="AJ117">
        <f t="shared" si="23"/>
        <v>0</v>
      </c>
      <c r="AK117" s="4"/>
      <c r="AL117">
        <f>SQRT((2+(($AL$3+Table4[[#This Row],[Red]])/2)/256)*($AL$3-Table4[[#This Row],[Red]])^2 + 4*($AM$3-Table4[[#This Row],[Green]])^2 + (2+(255-(($AL$3+Table4[[#This Row],[Red]])/2))/256 )*($AN$3-Table4[[#This Row],[Blue]])^2)</f>
        <v>512.46935121770946</v>
      </c>
      <c r="AM117">
        <f>SQRT((2+(($AO$3+Table4[[#This Row],[Red2]])/2)/256)*($AO$3-Table4[[#This Row],[Red2]])^2 + 4*($AP$3-Table4[[#This Row],[Green2]])^2 + (2+(255-(($AO$3+Table4[[#This Row],[Red2]])/2))/256 )*($AQ$3-Table4[[#This Row],[Blue2]])^2)</f>
        <v>397.25162739597431</v>
      </c>
      <c r="AN117">
        <f>SQRT(Table4[[#This Row],[diffPrimary]]^2+Table4[[#This Row],[diffSecondary]]^2)</f>
        <v>648.40858369260513</v>
      </c>
      <c r="AO117" s="2">
        <f>SQRT((2+(($AL$3+Table4[[#This Row],[Red2]])/2)/256)*($AL$3-Table4[[#This Row],[Red2]])^2 + 4*($AM$3-Table4[[#This Row],[Green2]])^2 + (2+(255-(($AL$3+Table4[[#This Row],[Red2]])/2))/256 )*($AN$3-Table4[[#This Row],[Blue2]])^2)</f>
        <v>270.76834396537197</v>
      </c>
      <c r="AP117" s="2">
        <f>SQRT((2+(($AO$3+Table4[[#This Row],[Red]])/2)/256)*($AO$3-Table4[[#This Row],[Red]])^2 + 4*($AP$3-Table4[[#This Row],[Green]])^2 + (2+(255-(($AO$3+Table4[[#This Row],[Red]])/2))/256 )*($AQ$3-Table4[[#This Row],[Blue]])^2)</f>
        <v>155.253610565906</v>
      </c>
      <c r="AQ117" s="2">
        <f>SQRT(Table4[[#This Row],[diffPrimary2]]^2+Table4[[#This Row],[diffSecondary2]]^2)</f>
        <v>312.12045701539654</v>
      </c>
      <c r="AR117" s="786">
        <f>MIN(Table4[[#This Row],[MinOrig]],Table4[[#This Row],[MinSwap]])</f>
        <v>312.12045701539654</v>
      </c>
      <c r="AS117" s="2">
        <v>39.214105800719203</v>
      </c>
      <c r="AX117" s="4"/>
    </row>
    <row r="118" spans="1:50" x14ac:dyDescent="0.25">
      <c r="A118" t="s">
        <v>47</v>
      </c>
      <c r="B118">
        <v>4</v>
      </c>
      <c r="C118">
        <v>106</v>
      </c>
      <c r="D118">
        <v>56</v>
      </c>
      <c r="E118" s="161"/>
      <c r="F118">
        <v>185</v>
      </c>
      <c r="G118">
        <v>151</v>
      </c>
      <c r="H118">
        <v>91</v>
      </c>
      <c r="I118" s="162"/>
      <c r="J118">
        <v>39</v>
      </c>
      <c r="K118">
        <v>37</v>
      </c>
      <c r="L118">
        <v>31</v>
      </c>
      <c r="M118" s="163"/>
      <c r="N118">
        <v>0</v>
      </c>
      <c r="O118">
        <v>0</v>
      </c>
      <c r="P118">
        <v>0</v>
      </c>
      <c r="Q118" s="4"/>
      <c r="U118" s="4"/>
      <c r="Y118" s="4"/>
      <c r="Z118">
        <f t="shared" si="12"/>
        <v>0</v>
      </c>
      <c r="AA118">
        <f t="shared" si="13"/>
        <v>127.5</v>
      </c>
      <c r="AB118">
        <f t="shared" si="14"/>
        <v>0</v>
      </c>
      <c r="AC118" s="34"/>
      <c r="AD118">
        <f t="shared" si="15"/>
        <v>127.5</v>
      </c>
      <c r="AE118">
        <f t="shared" si="16"/>
        <v>127.5</v>
      </c>
      <c r="AF118">
        <f t="shared" si="17"/>
        <v>127.5</v>
      </c>
      <c r="AG118" s="32"/>
      <c r="AH118">
        <f t="shared" si="21"/>
        <v>0</v>
      </c>
      <c r="AI118">
        <f t="shared" si="22"/>
        <v>0</v>
      </c>
      <c r="AJ118">
        <f t="shared" si="23"/>
        <v>0</v>
      </c>
      <c r="AK118" s="4"/>
      <c r="AL118">
        <f>SQRT((2+(($AL$3+Table4[[#This Row],[Red]])/2)/256)*($AL$3-Table4[[#This Row],[Red]])^2 + 4*($AM$3-Table4[[#This Row],[Green]])^2 + (2+(255-(($AL$3+Table4[[#This Row],[Red]])/2))/256 )*($AN$3-Table4[[#This Row],[Blue]])^2)</f>
        <v>452.64226656861706</v>
      </c>
      <c r="AM118">
        <f>SQRT((2+(($AO$3+Table4[[#This Row],[Red2]])/2)/256)*($AO$3-Table4[[#This Row],[Red2]])^2 + 4*($AP$3-Table4[[#This Row],[Green2]])^2 + (2+(255-(($AO$3+Table4[[#This Row],[Red2]])/2))/256 )*($AQ$3-Table4[[#This Row],[Blue2]])^2)</f>
        <v>440.27144947038073</v>
      </c>
      <c r="AN118">
        <f>SQRT(Table4[[#This Row],[diffPrimary]]^2+Table4[[#This Row],[diffSecondary]]^2)</f>
        <v>631.44593648476746</v>
      </c>
      <c r="AO118" s="2">
        <f>SQRT((2+(($AL$3+Table4[[#This Row],[Red2]])/2)/256)*($AL$3-Table4[[#This Row],[Red2]])^2 + 4*($AM$3-Table4[[#This Row],[Green2]])^2 + (2+(255-(($AL$3+Table4[[#This Row],[Red2]])/2))/256 )*($AN$3-Table4[[#This Row],[Blue2]])^2)</f>
        <v>208.25250411159527</v>
      </c>
      <c r="AP118" s="2">
        <f>SQRT((2+(($AO$3+Table4[[#This Row],[Red]])/2)/256)*($AO$3-Table4[[#This Row],[Red]])^2 + 4*($AP$3-Table4[[#This Row],[Green]])^2 + (2+(255-(($AO$3+Table4[[#This Row],[Red]])/2))/256 )*($AQ$3-Table4[[#This Row],[Blue]])^2)</f>
        <v>233.12523458433239</v>
      </c>
      <c r="AQ118" s="2">
        <f>SQRT(Table4[[#This Row],[diffPrimary2]]^2+Table4[[#This Row],[diffSecondary2]]^2)</f>
        <v>312.59635389548293</v>
      </c>
      <c r="AR118" s="786">
        <f>MIN(Table4[[#This Row],[MinOrig]],Table4[[#This Row],[MinSwap]])</f>
        <v>312.59635389548293</v>
      </c>
      <c r="AS118" s="2">
        <v>41.696962943960301</v>
      </c>
      <c r="AX118" s="4"/>
    </row>
    <row r="119" spans="1:50" x14ac:dyDescent="0.25">
      <c r="A119" t="s">
        <v>161</v>
      </c>
      <c r="B119">
        <v>0</v>
      </c>
      <c r="C119">
        <v>82</v>
      </c>
      <c r="D119">
        <v>155</v>
      </c>
      <c r="E119" s="368"/>
      <c r="F119">
        <v>255</v>
      </c>
      <c r="G119">
        <v>210</v>
      </c>
      <c r="H119">
        <v>4</v>
      </c>
      <c r="I119" s="15"/>
      <c r="M119" s="4"/>
      <c r="Q119" s="4"/>
      <c r="U119" s="4"/>
      <c r="Y119" s="4"/>
      <c r="Z119">
        <f t="shared" si="12"/>
        <v>0</v>
      </c>
      <c r="AA119">
        <f t="shared" si="13"/>
        <v>127.5</v>
      </c>
      <c r="AB119">
        <f t="shared" si="14"/>
        <v>127.5</v>
      </c>
      <c r="AC119" s="24"/>
      <c r="AD119">
        <f t="shared" si="15"/>
        <v>255</v>
      </c>
      <c r="AE119">
        <f t="shared" si="16"/>
        <v>255</v>
      </c>
      <c r="AF119">
        <f t="shared" si="17"/>
        <v>0</v>
      </c>
      <c r="AG119" s="9"/>
      <c r="AH119">
        <f t="shared" si="21"/>
        <v>0</v>
      </c>
      <c r="AI119">
        <f t="shared" si="22"/>
        <v>0</v>
      </c>
      <c r="AJ119">
        <f t="shared" si="23"/>
        <v>0</v>
      </c>
      <c r="AK119" s="4"/>
      <c r="AL119">
        <f>SQRT((2+(($AL$3+Table4[[#This Row],[Red]])/2)/256)*($AL$3-Table4[[#This Row],[Red]])^2 + 4*($AM$3-Table4[[#This Row],[Green]])^2 + (2+(255-(($AL$3+Table4[[#This Row],[Red]])/2))/256 )*($AN$3-Table4[[#This Row],[Blue]])^2)</f>
        <v>531.94649563536927</v>
      </c>
      <c r="AM119">
        <f>SQRT((2+(($AO$3+Table4[[#This Row],[Red2]])/2)/256)*($AO$3-Table4[[#This Row],[Red2]])^2 + 4*($AP$3-Table4[[#This Row],[Green2]])^2 + (2+(255-(($AO$3+Table4[[#This Row],[Red2]])/2))/256 )*($AQ$3-Table4[[#This Row],[Blue2]])^2)</f>
        <v>582.13011157032156</v>
      </c>
      <c r="AN119">
        <f>SQRT(Table4[[#This Row],[diffPrimary]]^2+Table4[[#This Row],[diffSecondary]]^2)</f>
        <v>788.56993413116186</v>
      </c>
      <c r="AO119" s="2">
        <f>SQRT((2+(($AL$3+Table4[[#This Row],[Red2]])/2)/256)*($AL$3-Table4[[#This Row],[Red2]])^2 + 4*($AM$3-Table4[[#This Row],[Green2]])^2 + (2+(255-(($AL$3+Table4[[#This Row],[Red2]])/2))/256 )*($AN$3-Table4[[#This Row],[Blue2]])^2)</f>
        <v>11.489125293076057</v>
      </c>
      <c r="AP119" s="2">
        <f>SQRT((2+(($AO$3+Table4[[#This Row],[Red]])/2)/256)*($AO$3-Table4[[#This Row],[Red]])^2 + 4*($AP$3-Table4[[#This Row],[Green]])^2 + (2+(255-(($AO$3+Table4[[#This Row],[Red]])/2))/256 )*($AQ$3-Table4[[#This Row],[Blue]])^2)</f>
        <v>314.44737611204516</v>
      </c>
      <c r="AQ119" s="2">
        <f>SQRT(Table4[[#This Row],[diffPrimary2]]^2+Table4[[#This Row],[diffSecondary2]]^2)</f>
        <v>314.65719814386892</v>
      </c>
      <c r="AR119" s="786">
        <f>MIN(Table4[[#This Row],[MinOrig]],Table4[[#This Row],[MinSwap]])</f>
        <v>314.65719814386892</v>
      </c>
      <c r="AS119" s="2">
        <v>56.246909637330297</v>
      </c>
      <c r="AX119" s="4"/>
    </row>
    <row r="120" spans="1:50" x14ac:dyDescent="0.25">
      <c r="A120" t="s">
        <v>45</v>
      </c>
      <c r="B120">
        <v>128</v>
      </c>
      <c r="C120">
        <v>0</v>
      </c>
      <c r="D120">
        <v>0</v>
      </c>
      <c r="E120" s="27"/>
      <c r="F120">
        <v>157</v>
      </c>
      <c r="G120">
        <v>137</v>
      </c>
      <c r="H120">
        <v>88</v>
      </c>
      <c r="I120" s="156"/>
      <c r="J120">
        <v>217</v>
      </c>
      <c r="K120">
        <v>217</v>
      </c>
      <c r="L120">
        <v>214</v>
      </c>
      <c r="M120" s="157"/>
      <c r="N120">
        <v>197</v>
      </c>
      <c r="O120">
        <v>183</v>
      </c>
      <c r="P120">
        <v>131</v>
      </c>
      <c r="Q120" s="158"/>
      <c r="R120">
        <v>255</v>
      </c>
      <c r="S120">
        <v>255</v>
      </c>
      <c r="T120">
        <v>255</v>
      </c>
      <c r="U120" s="3"/>
      <c r="Y120" s="4"/>
      <c r="Z120">
        <f t="shared" si="12"/>
        <v>127.5</v>
      </c>
      <c r="AA120">
        <f t="shared" si="13"/>
        <v>0</v>
      </c>
      <c r="AB120">
        <f t="shared" si="14"/>
        <v>0</v>
      </c>
      <c r="AC120" s="27"/>
      <c r="AD120">
        <f t="shared" si="15"/>
        <v>127.5</v>
      </c>
      <c r="AE120">
        <f t="shared" si="16"/>
        <v>127.5</v>
      </c>
      <c r="AF120">
        <f t="shared" si="17"/>
        <v>127.5</v>
      </c>
      <c r="AG120" s="32"/>
      <c r="AH120">
        <f t="shared" si="21"/>
        <v>255</v>
      </c>
      <c r="AI120">
        <f t="shared" si="22"/>
        <v>255</v>
      </c>
      <c r="AJ120">
        <f t="shared" si="23"/>
        <v>255</v>
      </c>
      <c r="AK120" s="3"/>
      <c r="AL120">
        <f>SQRT((2+(($AL$3+Table4[[#This Row],[Red]])/2)/256)*($AL$3-Table4[[#This Row],[Red]])^2 + 4*($AM$3-Table4[[#This Row],[Green]])^2 + (2+(255-(($AL$3+Table4[[#This Row],[Red]])/2))/256 )*($AN$3-Table4[[#This Row],[Blue]])^2)</f>
        <v>460.89396616453445</v>
      </c>
      <c r="AM120">
        <f>SQRT((2+(($AO$3+Table4[[#This Row],[Red2]])/2)/256)*($AO$3-Table4[[#This Row],[Red2]])^2 + 4*($AP$3-Table4[[#This Row],[Green2]])^2 + (2+(255-(($AO$3+Table4[[#This Row],[Red2]])/2))/256 )*($AQ$3-Table4[[#This Row],[Blue2]])^2)</f>
        <v>390.84461076702212</v>
      </c>
      <c r="AN120">
        <f>SQRT(Table4[[#This Row],[diffPrimary]]^2+Table4[[#This Row],[diffSecondary]]^2)</f>
        <v>604.30353119314145</v>
      </c>
      <c r="AO120" s="2">
        <f>SQRT((2+(($AL$3+Table4[[#This Row],[Red2]])/2)/256)*($AL$3-Table4[[#This Row],[Red2]])^2 + 4*($AM$3-Table4[[#This Row],[Green2]])^2 + (2+(255-(($AL$3+Table4[[#This Row],[Red2]])/2))/256 )*($AN$3-Table4[[#This Row],[Blue2]])^2)</f>
        <v>249.80486134180816</v>
      </c>
      <c r="AP120" s="2">
        <f>SQRT((2+(($AO$3+Table4[[#This Row],[Red]])/2)/256)*($AO$3-Table4[[#This Row],[Red]])^2 + 4*($AP$3-Table4[[#This Row],[Green]])^2 + (2+(255-(($AO$3+Table4[[#This Row],[Red]])/2))/256 )*($AQ$3-Table4[[#This Row],[Blue]])^2)</f>
        <v>192</v>
      </c>
      <c r="AQ120" s="2">
        <f>SQRT(Table4[[#This Row],[diffPrimary2]]^2+Table4[[#This Row],[diffSecondary2]]^2)</f>
        <v>315.06581653679916</v>
      </c>
      <c r="AR120" s="786">
        <f>MIN(Table4[[#This Row],[MinOrig]],Table4[[#This Row],[MinSwap]])</f>
        <v>315.06581653679916</v>
      </c>
      <c r="AS120" s="2">
        <v>57.9736436613656</v>
      </c>
      <c r="AX120" s="4"/>
    </row>
    <row r="121" spans="1:50" x14ac:dyDescent="0.25">
      <c r="A121" t="s">
        <v>130</v>
      </c>
      <c r="B121">
        <v>69</v>
      </c>
      <c r="C121">
        <v>0</v>
      </c>
      <c r="D121">
        <v>132</v>
      </c>
      <c r="E121" s="307"/>
      <c r="F121">
        <v>203</v>
      </c>
      <c r="G121">
        <v>182</v>
      </c>
      <c r="H121">
        <v>119</v>
      </c>
      <c r="I121" s="107"/>
      <c r="M121" s="4"/>
      <c r="Q121" s="4"/>
      <c r="U121" s="4"/>
      <c r="Y121" s="4"/>
      <c r="Z121">
        <f t="shared" si="12"/>
        <v>127.5</v>
      </c>
      <c r="AA121">
        <f t="shared" si="13"/>
        <v>0</v>
      </c>
      <c r="AB121">
        <f t="shared" si="14"/>
        <v>127.5</v>
      </c>
      <c r="AC121" s="30"/>
      <c r="AD121">
        <f t="shared" si="15"/>
        <v>255</v>
      </c>
      <c r="AE121">
        <f t="shared" si="16"/>
        <v>127.5</v>
      </c>
      <c r="AF121">
        <f t="shared" si="17"/>
        <v>127.5</v>
      </c>
      <c r="AG121" s="25"/>
      <c r="AH121">
        <f t="shared" si="21"/>
        <v>0</v>
      </c>
      <c r="AI121">
        <f t="shared" si="22"/>
        <v>0</v>
      </c>
      <c r="AJ121">
        <f t="shared" si="23"/>
        <v>0</v>
      </c>
      <c r="AK121" s="4"/>
      <c r="AL121">
        <f>SQRT((2+(($AL$3+Table4[[#This Row],[Red]])/2)/256)*($AL$3-Table4[[#This Row],[Red]])^2 + 4*($AM$3-Table4[[#This Row],[Green]])^2 + (2+(255-(($AL$3+Table4[[#This Row],[Red]])/2))/256 )*($AN$3-Table4[[#This Row],[Blue]])^2)</f>
        <v>548.05345884320445</v>
      </c>
      <c r="AM121">
        <f>SQRT((2+(($AO$3+Table4[[#This Row],[Red2]])/2)/256)*($AO$3-Table4[[#This Row],[Red2]])^2 + 4*($AP$3-Table4[[#This Row],[Green2]])^2 + (2+(255-(($AO$3+Table4[[#This Row],[Red2]])/2))/256 )*($AQ$3-Table4[[#This Row],[Blue2]])^2)</f>
        <v>517.75070542564208</v>
      </c>
      <c r="AN121">
        <f>SQRT(Table4[[#This Row],[diffPrimary]]^2+Table4[[#This Row],[diffSecondary]]^2)</f>
        <v>753.94189876856558</v>
      </c>
      <c r="AO121" s="2">
        <f>SQRT((2+(($AL$3+Table4[[#This Row],[Red2]])/2)/256)*($AL$3-Table4[[#This Row],[Red2]])^2 + 4*($AM$3-Table4[[#This Row],[Green2]])^2 + (2+(255-(($AL$3+Table4[[#This Row],[Red2]])/2))/256 )*($AN$3-Table4[[#This Row],[Blue2]])^2)</f>
        <v>199.25621461450081</v>
      </c>
      <c r="AP121" s="2">
        <f>SQRT((2+(($AO$3+Table4[[#This Row],[Red]])/2)/256)*($AO$3-Table4[[#This Row],[Red]])^2 + 4*($AP$3-Table4[[#This Row],[Green]])^2 + (2+(255-(($AO$3+Table4[[#This Row],[Red]])/2))/256 )*($AQ$3-Table4[[#This Row],[Blue]])^2)</f>
        <v>244.98857195923446</v>
      </c>
      <c r="AQ121" s="2">
        <f>SQRT(Table4[[#This Row],[diffPrimary2]]^2+Table4[[#This Row],[diffSecondary2]]^2)</f>
        <v>315.78859930834267</v>
      </c>
      <c r="AR121" s="786">
        <f>MIN(Table4[[#This Row],[MinOrig]],Table4[[#This Row],[MinSwap]])</f>
        <v>315.78859930834267</v>
      </c>
      <c r="AS121" s="2">
        <v>98.897279411518696</v>
      </c>
      <c r="AX121" s="4"/>
    </row>
    <row r="122" spans="1:50" x14ac:dyDescent="0.25">
      <c r="A122" t="s">
        <v>90</v>
      </c>
      <c r="B122">
        <v>120</v>
      </c>
      <c r="C122">
        <v>47</v>
      </c>
      <c r="D122">
        <v>64</v>
      </c>
      <c r="E122" s="246"/>
      <c r="F122">
        <v>206</v>
      </c>
      <c r="G122">
        <v>184</v>
      </c>
      <c r="H122">
        <v>136</v>
      </c>
      <c r="I122" s="247"/>
      <c r="J122">
        <v>255</v>
      </c>
      <c r="K122">
        <v>255</v>
      </c>
      <c r="L122">
        <v>255</v>
      </c>
      <c r="M122" s="3"/>
      <c r="Q122" s="4"/>
      <c r="U122" s="4"/>
      <c r="Y122" s="4"/>
      <c r="Z122">
        <f t="shared" si="12"/>
        <v>127.5</v>
      </c>
      <c r="AA122">
        <f t="shared" si="13"/>
        <v>0</v>
      </c>
      <c r="AB122">
        <f t="shared" si="14"/>
        <v>127.5</v>
      </c>
      <c r="AC122" s="30"/>
      <c r="AD122">
        <f t="shared" si="15"/>
        <v>255</v>
      </c>
      <c r="AE122">
        <f t="shared" si="16"/>
        <v>127.5</v>
      </c>
      <c r="AF122">
        <f t="shared" si="17"/>
        <v>127.5</v>
      </c>
      <c r="AG122" s="25"/>
      <c r="AH122">
        <f t="shared" si="21"/>
        <v>255</v>
      </c>
      <c r="AI122">
        <f t="shared" si="22"/>
        <v>255</v>
      </c>
      <c r="AJ122">
        <f t="shared" si="23"/>
        <v>255</v>
      </c>
      <c r="AK122" s="3"/>
      <c r="AL122">
        <f>SQRT((2+(($AL$3+Table4[[#This Row],[Red]])/2)/256)*($AL$3-Table4[[#This Row],[Red]])^2 + 4*($AM$3-Table4[[#This Row],[Green]])^2 + (2+(255-(($AL$3+Table4[[#This Row],[Red]])/2))/256 )*($AN$3-Table4[[#This Row],[Blue]])^2)</f>
        <v>398.6557270024789</v>
      </c>
      <c r="AM122">
        <f>SQRT((2+(($AO$3+Table4[[#This Row],[Red2]])/2)/256)*($AO$3-Table4[[#This Row],[Red2]])^2 + 4*($AP$3-Table4[[#This Row],[Green2]])^2 + (2+(255-(($AO$3+Table4[[#This Row],[Red2]])/2))/256 )*($AQ$3-Table4[[#This Row],[Blue2]])^2)</f>
        <v>534.17586933050427</v>
      </c>
      <c r="AN122">
        <f>SQRT(Table4[[#This Row],[diffPrimary]]^2+Table4[[#This Row],[diffSecondary]]^2)</f>
        <v>666.5360065644428</v>
      </c>
      <c r="AO122" s="2">
        <f>SQRT((2+(($AL$3+Table4[[#This Row],[Red2]])/2)/256)*($AL$3-Table4[[#This Row],[Red2]])^2 + 4*($AM$3-Table4[[#This Row],[Green2]])^2 + (2+(255-(($AL$3+Table4[[#This Row],[Red2]])/2))/256 )*($AN$3-Table4[[#This Row],[Blue2]])^2)</f>
        <v>217.92191925234368</v>
      </c>
      <c r="AP122" s="2">
        <f>SQRT((2+(($AO$3+Table4[[#This Row],[Red]])/2)/256)*($AO$3-Table4[[#This Row],[Red]])^2 + 4*($AP$3-Table4[[#This Row],[Green]])^2 + (2+(255-(($AO$3+Table4[[#This Row],[Red]])/2))/256 )*($AQ$3-Table4[[#This Row],[Blue]])^2)</f>
        <v>228.74221298221281</v>
      </c>
      <c r="AQ122" s="2">
        <f>SQRT(Table4[[#This Row],[diffPrimary2]]^2+Table4[[#This Row],[diffSecondary2]]^2)</f>
        <v>315.93189596909173</v>
      </c>
      <c r="AR122" s="786">
        <f>MIN(Table4[[#This Row],[MinOrig]],Table4[[#This Row],[MinSwap]])</f>
        <v>315.93189596909173</v>
      </c>
      <c r="AS122" s="2">
        <v>93.180321235897196</v>
      </c>
      <c r="AX122" s="4"/>
    </row>
    <row r="123" spans="1:50" x14ac:dyDescent="0.25">
      <c r="A123" t="s">
        <v>230</v>
      </c>
      <c r="B123">
        <v>138</v>
      </c>
      <c r="C123">
        <v>141</v>
      </c>
      <c r="D123">
        <v>143</v>
      </c>
      <c r="E123" s="66"/>
      <c r="F123">
        <v>0</v>
      </c>
      <c r="G123">
        <v>0</v>
      </c>
      <c r="H123">
        <v>0</v>
      </c>
      <c r="I123" s="4"/>
      <c r="J123">
        <v>255</v>
      </c>
      <c r="K123">
        <v>255</v>
      </c>
      <c r="L123">
        <v>255</v>
      </c>
      <c r="M123" s="3"/>
      <c r="Q123" s="4"/>
      <c r="U123" s="4"/>
      <c r="Y123" s="4"/>
      <c r="Z123">
        <f t="shared" si="12"/>
        <v>127.5</v>
      </c>
      <c r="AA123">
        <f t="shared" si="13"/>
        <v>127.5</v>
      </c>
      <c r="AB123">
        <f t="shared" si="14"/>
        <v>127.5</v>
      </c>
      <c r="AC123" s="32"/>
      <c r="AD123">
        <f t="shared" si="15"/>
        <v>0</v>
      </c>
      <c r="AE123">
        <f t="shared" si="16"/>
        <v>0</v>
      </c>
      <c r="AF123">
        <f t="shared" si="17"/>
        <v>0</v>
      </c>
      <c r="AG123" s="4"/>
      <c r="AH123">
        <f t="shared" si="21"/>
        <v>255</v>
      </c>
      <c r="AI123">
        <f t="shared" si="22"/>
        <v>255</v>
      </c>
      <c r="AJ123">
        <f t="shared" si="23"/>
        <v>255</v>
      </c>
      <c r="AK123" s="3"/>
      <c r="AL123">
        <f>SQRT((2+(($AL$3+Table4[[#This Row],[Red]])/2)/256)*($AL$3-Table4[[#This Row],[Red]])^2 + 4*($AM$3-Table4[[#This Row],[Green]])^2 + (2+(255-(($AL$3+Table4[[#This Row],[Red]])/2))/256 )*($AN$3-Table4[[#This Row],[Blue]])^2)</f>
        <v>315.97514612505523</v>
      </c>
      <c r="AM123">
        <f>SQRT((2+(($AO$3+Table4[[#This Row],[Red2]])/2)/256)*($AO$3-Table4[[#This Row],[Red2]])^2 + 4*($AP$3-Table4[[#This Row],[Green2]])^2 + (2+(255-(($AO$3+Table4[[#This Row],[Red2]])/2))/256 )*($AQ$3-Table4[[#This Row],[Blue2]])^2)</f>
        <v>0</v>
      </c>
      <c r="AN123">
        <f>SQRT(Table4[[#This Row],[diffPrimary]]^2+Table4[[#This Row],[diffSecondary]]^2)</f>
        <v>315.97514612505523</v>
      </c>
      <c r="AO123" s="2">
        <f>SQRT((2+(($AL$3+Table4[[#This Row],[Red2]])/2)/256)*($AL$3-Table4[[#This Row],[Red2]])^2 + 4*($AM$3-Table4[[#This Row],[Green2]])^2 + (2+(255-(($AL$3+Table4[[#This Row],[Red2]])/2))/256 )*($AN$3-Table4[[#This Row],[Blue2]])^2)</f>
        <v>574.92216694686158</v>
      </c>
      <c r="AP123" s="2">
        <f>SQRT((2+(($AO$3+Table4[[#This Row],[Red]])/2)/256)*($AO$3-Table4[[#This Row],[Red]])^2 + 4*($AP$3-Table4[[#This Row],[Green]])^2 + (2+(255-(($AO$3+Table4[[#This Row],[Red]])/2))/256 )*($AQ$3-Table4[[#This Row],[Blue]])^2)</f>
        <v>422.49311200006565</v>
      </c>
      <c r="AQ123" s="2">
        <f>SQRT(Table4[[#This Row],[diffPrimary2]]^2+Table4[[#This Row],[diffSecondary2]]^2)</f>
        <v>713.46753796817904</v>
      </c>
      <c r="AR123" s="786">
        <f>MIN(Table4[[#This Row],[MinOrig]],Table4[[#This Row],[MinSwap]])</f>
        <v>315.97514612505523</v>
      </c>
      <c r="AS123" s="2">
        <v>113.87663795474</v>
      </c>
      <c r="AX123" s="4"/>
    </row>
    <row r="124" spans="1:50" x14ac:dyDescent="0.25">
      <c r="A124" t="s">
        <v>118</v>
      </c>
      <c r="B124">
        <v>200</v>
      </c>
      <c r="C124">
        <v>16</v>
      </c>
      <c r="D124">
        <v>46</v>
      </c>
      <c r="E124" s="97"/>
      <c r="F124">
        <v>254</v>
      </c>
      <c r="G124">
        <v>219</v>
      </c>
      <c r="H124">
        <v>0</v>
      </c>
      <c r="I124" s="293"/>
      <c r="J124">
        <v>255</v>
      </c>
      <c r="K124">
        <v>255</v>
      </c>
      <c r="L124">
        <v>255</v>
      </c>
      <c r="M124" s="3"/>
      <c r="N124">
        <v>0</v>
      </c>
      <c r="O124">
        <v>0</v>
      </c>
      <c r="P124">
        <v>0</v>
      </c>
      <c r="Q124" s="4"/>
      <c r="U124" s="4"/>
      <c r="Y124" s="4"/>
      <c r="Z124">
        <f t="shared" si="12"/>
        <v>255</v>
      </c>
      <c r="AA124">
        <f t="shared" si="13"/>
        <v>0</v>
      </c>
      <c r="AB124">
        <f t="shared" si="14"/>
        <v>0</v>
      </c>
      <c r="AC124" s="5"/>
      <c r="AD124">
        <f t="shared" si="15"/>
        <v>255</v>
      </c>
      <c r="AE124">
        <f t="shared" si="16"/>
        <v>255</v>
      </c>
      <c r="AF124">
        <f t="shared" si="17"/>
        <v>0</v>
      </c>
      <c r="AG124" s="9"/>
      <c r="AH124">
        <f t="shared" si="21"/>
        <v>255</v>
      </c>
      <c r="AI124">
        <f t="shared" si="22"/>
        <v>255</v>
      </c>
      <c r="AJ124">
        <f t="shared" si="23"/>
        <v>255</v>
      </c>
      <c r="AK124" s="3"/>
      <c r="AL124">
        <f>SQRT((2+(($AL$3+Table4[[#This Row],[Red]])/2)/256)*($AL$3-Table4[[#This Row],[Red]])^2 + 4*($AM$3-Table4[[#This Row],[Green]])^2 + (2+(255-(($AL$3+Table4[[#This Row],[Red]])/2))/256 )*($AN$3-Table4[[#This Row],[Blue]])^2)</f>
        <v>395.07155947926066</v>
      </c>
      <c r="AM124">
        <f>SQRT((2+(($AO$3+Table4[[#This Row],[Red2]])/2)/256)*($AO$3-Table4[[#This Row],[Red2]])^2 + 4*($AP$3-Table4[[#This Row],[Green2]])^2 + (2+(255-(($AO$3+Table4[[#This Row],[Red2]])/2))/256 )*($AQ$3-Table4[[#This Row],[Blue2]])^2)</f>
        <v>594.03870612528272</v>
      </c>
      <c r="AN124">
        <f>SQRT(Table4[[#This Row],[diffPrimary]]^2+Table4[[#This Row],[diffSecondary]]^2)</f>
        <v>713.41679366578899</v>
      </c>
      <c r="AO124" s="2">
        <f>SQRT((2+(($AL$3+Table4[[#This Row],[Red2]])/2)/256)*($AL$3-Table4[[#This Row],[Red2]])^2 + 4*($AM$3-Table4[[#This Row],[Green2]])^2 + (2+(255-(($AL$3+Table4[[#This Row],[Red2]])/2))/256 )*($AN$3-Table4[[#This Row],[Blue2]])^2)</f>
        <v>28.053415845935767</v>
      </c>
      <c r="AP124" s="2">
        <f>SQRT((2+(($AO$3+Table4[[#This Row],[Red]])/2)/256)*($AO$3-Table4[[#This Row],[Red]])^2 + 4*($AP$3-Table4[[#This Row],[Green]])^2 + (2+(255-(($AO$3+Table4[[#This Row],[Red]])/2))/256 )*($AQ$3-Table4[[#This Row],[Blue]])^2)</f>
        <v>319.62817753602388</v>
      </c>
      <c r="AQ124" s="2">
        <f>SQRT(Table4[[#This Row],[diffPrimary2]]^2+Table4[[#This Row],[diffSecondary2]]^2)</f>
        <v>320.8569245249742</v>
      </c>
      <c r="AR124" s="786">
        <f>MIN(Table4[[#This Row],[MinOrig]],Table4[[#This Row],[MinSwap]])</f>
        <v>320.8569245249742</v>
      </c>
      <c r="AS124" s="2">
        <v>74.018750263868995</v>
      </c>
      <c r="AX124" s="4"/>
    </row>
    <row r="125" spans="1:50" x14ac:dyDescent="0.25">
      <c r="A125" t="s">
        <v>82</v>
      </c>
      <c r="B125">
        <v>82</v>
      </c>
      <c r="C125">
        <v>35</v>
      </c>
      <c r="D125">
        <v>127</v>
      </c>
      <c r="E125" s="232"/>
      <c r="F125">
        <v>243</v>
      </c>
      <c r="G125">
        <v>111</v>
      </c>
      <c r="H125">
        <v>33</v>
      </c>
      <c r="I125" s="233"/>
      <c r="J125">
        <v>255</v>
      </c>
      <c r="K125">
        <v>255</v>
      </c>
      <c r="L125">
        <v>255</v>
      </c>
      <c r="M125" s="3"/>
      <c r="Q125" s="4"/>
      <c r="U125" s="4"/>
      <c r="Y125" s="4"/>
      <c r="Z125">
        <f t="shared" si="12"/>
        <v>127.5</v>
      </c>
      <c r="AA125">
        <f t="shared" si="13"/>
        <v>0</v>
      </c>
      <c r="AB125">
        <f t="shared" si="14"/>
        <v>127.5</v>
      </c>
      <c r="AC125" s="30"/>
      <c r="AD125">
        <f t="shared" si="15"/>
        <v>255</v>
      </c>
      <c r="AE125">
        <f t="shared" si="16"/>
        <v>127.5</v>
      </c>
      <c r="AF125">
        <f t="shared" si="17"/>
        <v>0</v>
      </c>
      <c r="AG125" s="28"/>
      <c r="AH125">
        <f t="shared" si="21"/>
        <v>255</v>
      </c>
      <c r="AI125">
        <f t="shared" si="22"/>
        <v>255</v>
      </c>
      <c r="AJ125">
        <f t="shared" si="23"/>
        <v>255</v>
      </c>
      <c r="AK125" s="3"/>
      <c r="AL125">
        <f>SQRT((2+(($AL$3+Table4[[#This Row],[Red]])/2)/256)*($AL$3-Table4[[#This Row],[Red]])^2 + 4*($AM$3-Table4[[#This Row],[Green]])^2 + (2+(255-(($AL$3+Table4[[#This Row],[Red]])/2))/256 )*($AN$3-Table4[[#This Row],[Blue]])^2)</f>
        <v>482.56108340680561</v>
      </c>
      <c r="AM125">
        <f>SQRT((2+(($AO$3+Table4[[#This Row],[Red2]])/2)/256)*($AO$3-Table4[[#This Row],[Red2]])^2 + 4*($AP$3-Table4[[#This Row],[Green2]])^2 + (2+(255-(($AO$3+Table4[[#This Row],[Red2]])/2))/256 )*($AQ$3-Table4[[#This Row],[Blue2]])^2)</f>
        <v>445.14391545740574</v>
      </c>
      <c r="AN125">
        <f>SQRT(Table4[[#This Row],[diffPrimary]]^2+Table4[[#This Row],[diffSecondary]]^2)</f>
        <v>656.51984333110602</v>
      </c>
      <c r="AO125" s="2">
        <f>SQRT((2+(($AL$3+Table4[[#This Row],[Red2]])/2)/256)*($AL$3-Table4[[#This Row],[Red2]])^2 + 4*($AM$3-Table4[[#This Row],[Green2]])^2 + (2+(255-(($AL$3+Table4[[#This Row],[Red2]])/2))/256 )*($AN$3-Table4[[#This Row],[Blue2]])^2)</f>
        <v>194.87325608584672</v>
      </c>
      <c r="AP125" s="2">
        <f>SQRT((2+(($AO$3+Table4[[#This Row],[Red]])/2)/256)*($AO$3-Table4[[#This Row],[Red]])^2 + 4*($AP$3-Table4[[#This Row],[Green]])^2 + (2+(255-(($AO$3+Table4[[#This Row],[Red]])/2))/256 )*($AQ$3-Table4[[#This Row],[Blue]])^2)</f>
        <v>255.27578530385526</v>
      </c>
      <c r="AQ125" s="2">
        <f>SQRT(Table4[[#This Row],[diffPrimary2]]^2+Table4[[#This Row],[diffSecondary2]]^2)</f>
        <v>321.15621199036457</v>
      </c>
      <c r="AR125" s="786">
        <f>MIN(Table4[[#This Row],[MinOrig]],Table4[[#This Row],[MinSwap]])</f>
        <v>321.15621199036457</v>
      </c>
      <c r="AS125" s="2">
        <v>54.4360289697917</v>
      </c>
      <c r="AX125" s="4"/>
    </row>
    <row r="126" spans="1:50" x14ac:dyDescent="0.25">
      <c r="A126" t="s">
        <v>285</v>
      </c>
      <c r="B126">
        <v>191</v>
      </c>
      <c r="C126">
        <v>87</v>
      </c>
      <c r="D126">
        <v>0</v>
      </c>
      <c r="E126" s="535"/>
      <c r="F126">
        <v>51</v>
      </c>
      <c r="G126">
        <v>63</v>
      </c>
      <c r="H126">
        <v>72</v>
      </c>
      <c r="I126" s="536"/>
      <c r="J126">
        <v>255</v>
      </c>
      <c r="K126">
        <v>255</v>
      </c>
      <c r="L126">
        <v>255</v>
      </c>
      <c r="M126" s="3"/>
      <c r="Q126" s="4"/>
      <c r="U126" s="4"/>
      <c r="Y126" s="4"/>
      <c r="Z126">
        <f t="shared" si="12"/>
        <v>127.5</v>
      </c>
      <c r="AA126">
        <f t="shared" si="13"/>
        <v>127.5</v>
      </c>
      <c r="AB126">
        <f t="shared" si="14"/>
        <v>0</v>
      </c>
      <c r="AC126" s="33"/>
      <c r="AD126">
        <f t="shared" si="15"/>
        <v>0</v>
      </c>
      <c r="AE126">
        <f t="shared" si="16"/>
        <v>0</v>
      </c>
      <c r="AF126">
        <f t="shared" si="17"/>
        <v>127.5</v>
      </c>
      <c r="AG126" s="26"/>
      <c r="AH126">
        <f t="shared" si="21"/>
        <v>255</v>
      </c>
      <c r="AI126">
        <f t="shared" si="22"/>
        <v>255</v>
      </c>
      <c r="AJ126">
        <f t="shared" si="23"/>
        <v>255</v>
      </c>
      <c r="AK126" s="3"/>
      <c r="AL126">
        <f>SQRT((2+(($AL$3+Table4[[#This Row],[Red]])/2)/256)*($AL$3-Table4[[#This Row],[Red]])^2 + 4*($AM$3-Table4[[#This Row],[Green]])^2 + (2+(255-(($AL$3+Table4[[#This Row],[Red]])/2))/256 )*($AN$3-Table4[[#This Row],[Blue]])^2)</f>
        <v>259.72292929196681</v>
      </c>
      <c r="AM126">
        <f>SQRT((2+(($AO$3+Table4[[#This Row],[Red2]])/2)/256)*($AO$3-Table4[[#This Row],[Red2]])^2 + 4*($AP$3-Table4[[#This Row],[Green2]])^2 + (2+(255-(($AO$3+Table4[[#This Row],[Red2]])/2))/256 )*($AQ$3-Table4[[#This Row],[Blue2]])^2)</f>
        <v>190.66320826099354</v>
      </c>
      <c r="AN126">
        <f>SQRT(Table4[[#This Row],[diffPrimary]]^2+Table4[[#This Row],[diffSecondary]]^2)</f>
        <v>322.19320133170868</v>
      </c>
      <c r="AO126" s="2">
        <f>SQRT((2+(($AL$3+Table4[[#This Row],[Red2]])/2)/256)*($AL$3-Table4[[#This Row],[Red2]])^2 + 4*($AM$3-Table4[[#This Row],[Green2]])^2 + (2+(255-(($AL$3+Table4[[#This Row],[Red2]])/2))/256 )*($AN$3-Table4[[#This Row],[Blue2]])^2)</f>
        <v>448.54605393426436</v>
      </c>
      <c r="AP126" s="2">
        <f>SQRT((2+(($AO$3+Table4[[#This Row],[Red]])/2)/256)*($AO$3-Table4[[#This Row],[Red]])^2 + 4*($AP$3-Table4[[#This Row],[Green]])^2 + (2+(255-(($AO$3+Table4[[#This Row],[Red]])/2))/256 )*($AQ$3-Table4[[#This Row],[Blue]])^2)</f>
        <v>341.82908455377958</v>
      </c>
      <c r="AQ126" s="2">
        <f>SQRT(Table4[[#This Row],[diffPrimary2]]^2+Table4[[#This Row],[diffSecondary2]]^2)</f>
        <v>563.95096023224835</v>
      </c>
      <c r="AR126" s="786">
        <f>MIN(Table4[[#This Row],[MinOrig]],Table4[[#This Row],[MinSwap]])</f>
        <v>322.19320133170868</v>
      </c>
      <c r="AS126" s="2">
        <v>56.652242343088197</v>
      </c>
      <c r="AX126" s="4"/>
    </row>
    <row r="127" spans="1:50" x14ac:dyDescent="0.25">
      <c r="A127" t="s">
        <v>212</v>
      </c>
      <c r="B127">
        <v>0</v>
      </c>
      <c r="C127">
        <v>104</v>
      </c>
      <c r="D127">
        <v>72</v>
      </c>
      <c r="E127" s="428"/>
      <c r="F127">
        <v>205</v>
      </c>
      <c r="G127">
        <v>160</v>
      </c>
      <c r="H127">
        <v>119</v>
      </c>
      <c r="I127" s="114"/>
      <c r="J127">
        <v>0</v>
      </c>
      <c r="K127">
        <v>0</v>
      </c>
      <c r="L127">
        <v>0</v>
      </c>
      <c r="M127" s="4"/>
      <c r="Q127" s="4"/>
      <c r="U127" s="4"/>
      <c r="Y127" s="4"/>
      <c r="Z127">
        <f t="shared" si="12"/>
        <v>0</v>
      </c>
      <c r="AA127">
        <f t="shared" si="13"/>
        <v>127.5</v>
      </c>
      <c r="AB127">
        <f t="shared" si="14"/>
        <v>127.5</v>
      </c>
      <c r="AC127" s="24"/>
      <c r="AD127">
        <f t="shared" si="15"/>
        <v>255</v>
      </c>
      <c r="AE127">
        <f t="shared" si="16"/>
        <v>127.5</v>
      </c>
      <c r="AF127">
        <f t="shared" si="17"/>
        <v>127.5</v>
      </c>
      <c r="AG127" s="25"/>
      <c r="AH127">
        <f t="shared" si="21"/>
        <v>0</v>
      </c>
      <c r="AI127">
        <f t="shared" si="22"/>
        <v>0</v>
      </c>
      <c r="AJ127">
        <f t="shared" si="23"/>
        <v>0</v>
      </c>
      <c r="AK127" s="4"/>
      <c r="AL127">
        <f>SQRT((2+(($AL$3+Table4[[#This Row],[Red]])/2)/256)*($AL$3-Table4[[#This Row],[Red]])^2 + 4*($AM$3-Table4[[#This Row],[Green]])^2 + (2+(255-(($AL$3+Table4[[#This Row],[Red]])/2))/256 )*($AN$3-Table4[[#This Row],[Blue]])^2)</f>
        <v>464.96168987011714</v>
      </c>
      <c r="AM127">
        <f>SQRT((2+(($AO$3+Table4[[#This Row],[Red2]])/2)/256)*($AO$3-Table4[[#This Row],[Red2]])^2 + 4*($AP$3-Table4[[#This Row],[Green2]])^2 + (2+(255-(($AO$3+Table4[[#This Row],[Red2]])/2))/256 )*($AQ$3-Table4[[#This Row],[Blue2]])^2)</f>
        <v>489.93281985263042</v>
      </c>
      <c r="AN127">
        <f>SQRT(Table4[[#This Row],[diffPrimary]]^2+Table4[[#This Row],[diffSecondary]]^2)</f>
        <v>675.44321820240748</v>
      </c>
      <c r="AO127" s="2">
        <f>SQRT((2+(($AL$3+Table4[[#This Row],[Red2]])/2)/256)*($AL$3-Table4[[#This Row],[Red2]])^2 + 4*($AM$3-Table4[[#This Row],[Green2]])^2 + (2+(255-(($AL$3+Table4[[#This Row],[Red2]])/2))/256 )*($AN$3-Table4[[#This Row],[Blue2]])^2)</f>
        <v>212.25221767098219</v>
      </c>
      <c r="AP127" s="2">
        <f>SQRT((2+(($AO$3+Table4[[#This Row],[Red]])/2)/256)*($AO$3-Table4[[#This Row],[Red]])^2 + 4*($AP$3-Table4[[#This Row],[Green]])^2 + (2+(255-(($AO$3+Table4[[#This Row],[Red]])/2))/256 )*($AQ$3-Table4[[#This Row],[Blue]])^2)</f>
        <v>242.47834954898551</v>
      </c>
      <c r="AQ127" s="2">
        <f>SQRT(Table4[[#This Row],[diffPrimary2]]^2+Table4[[#This Row],[diffSecondary2]]^2)</f>
        <v>322.2526243589802</v>
      </c>
      <c r="AR127" s="786">
        <f>MIN(Table4[[#This Row],[MinOrig]],Table4[[#This Row],[MinSwap]])</f>
        <v>322.2526243589802</v>
      </c>
      <c r="AS127" s="2">
        <v>62.307860910562503</v>
      </c>
      <c r="AX127" s="4"/>
    </row>
    <row r="128" spans="1:50" x14ac:dyDescent="0.25">
      <c r="A128" t="s">
        <v>180</v>
      </c>
      <c r="B128">
        <v>27</v>
      </c>
      <c r="C128">
        <v>67</v>
      </c>
      <c r="D128">
        <v>131</v>
      </c>
      <c r="E128" s="380"/>
      <c r="F128">
        <v>244</v>
      </c>
      <c r="G128">
        <v>121</v>
      </c>
      <c r="H128">
        <v>55</v>
      </c>
      <c r="I128" s="381"/>
      <c r="J128">
        <v>205</v>
      </c>
      <c r="K128">
        <v>161</v>
      </c>
      <c r="L128">
        <v>119</v>
      </c>
      <c r="M128" s="382"/>
      <c r="N128">
        <v>255</v>
      </c>
      <c r="O128">
        <v>191</v>
      </c>
      <c r="P128">
        <v>63</v>
      </c>
      <c r="Q128" s="383"/>
      <c r="R128">
        <v>255</v>
      </c>
      <c r="S128">
        <v>255</v>
      </c>
      <c r="T128">
        <v>255</v>
      </c>
      <c r="U128" s="3"/>
      <c r="V128">
        <v>0</v>
      </c>
      <c r="W128">
        <v>0</v>
      </c>
      <c r="X128">
        <v>0</v>
      </c>
      <c r="Y128" s="4"/>
      <c r="Z128">
        <f t="shared" si="12"/>
        <v>0</v>
      </c>
      <c r="AA128">
        <f t="shared" si="13"/>
        <v>127.5</v>
      </c>
      <c r="AB128">
        <f t="shared" si="14"/>
        <v>127.5</v>
      </c>
      <c r="AC128" s="24"/>
      <c r="AD128">
        <f t="shared" si="15"/>
        <v>255</v>
      </c>
      <c r="AE128">
        <f t="shared" si="16"/>
        <v>127.5</v>
      </c>
      <c r="AF128">
        <f t="shared" si="17"/>
        <v>0</v>
      </c>
      <c r="AG128" s="28"/>
      <c r="AH128">
        <f t="shared" si="21"/>
        <v>255</v>
      </c>
      <c r="AI128">
        <f t="shared" si="22"/>
        <v>127.5</v>
      </c>
      <c r="AJ128">
        <f t="shared" si="23"/>
        <v>127.5</v>
      </c>
      <c r="AK128" s="25"/>
      <c r="AL128">
        <f>SQRT((2+(($AL$3+Table4[[#This Row],[Red]])/2)/256)*($AL$3-Table4[[#This Row],[Red]])^2 + 4*($AM$3-Table4[[#This Row],[Green]])^2 + (2+(255-(($AL$3+Table4[[#This Row],[Red]])/2))/256 )*($AN$3-Table4[[#This Row],[Blue]])^2)</f>
        <v>500.73927378676819</v>
      </c>
      <c r="AM128">
        <f>SQRT((2+(($AO$3+Table4[[#This Row],[Red2]])/2)/256)*($AO$3-Table4[[#This Row],[Red2]])^2 + 4*($AP$3-Table4[[#This Row],[Green2]])^2 + (2+(255-(($AO$3+Table4[[#This Row],[Red2]])/2))/256 )*($AQ$3-Table4[[#This Row],[Blue2]])^2)</f>
        <v>462.2014788284975</v>
      </c>
      <c r="AN128">
        <f>SQRT(Table4[[#This Row],[diffPrimary]]^2+Table4[[#This Row],[diffSecondary]]^2)</f>
        <v>681.44700993088964</v>
      </c>
      <c r="AO128" s="2">
        <f>SQRT((2+(($AL$3+Table4[[#This Row],[Red2]])/2)/256)*($AL$3-Table4[[#This Row],[Red2]])^2 + 4*($AM$3-Table4[[#This Row],[Green2]])^2 + (2+(255-(($AL$3+Table4[[#This Row],[Red2]])/2))/256 )*($AN$3-Table4[[#This Row],[Blue2]])^2)</f>
        <v>186.27645575528325</v>
      </c>
      <c r="AP128" s="2">
        <f>SQRT((2+(($AO$3+Table4[[#This Row],[Red]])/2)/256)*($AO$3-Table4[[#This Row],[Red]])^2 + 4*($AP$3-Table4[[#This Row],[Green]])^2 + (2+(255-(($AO$3+Table4[[#This Row],[Red]])/2))/256 )*($AQ$3-Table4[[#This Row],[Blue]])^2)</f>
        <v>264.50601806716986</v>
      </c>
      <c r="AQ128" s="2">
        <f>SQRT(Table4[[#This Row],[diffPrimary2]]^2+Table4[[#This Row],[diffSecondary2]]^2)</f>
        <v>323.51561254829727</v>
      </c>
      <c r="AR128" s="786">
        <f>MIN(Table4[[#This Row],[MinOrig]],Table4[[#This Row],[MinSwap]])</f>
        <v>323.51561254829727</v>
      </c>
      <c r="AS128" s="2">
        <v>65.4922615896336</v>
      </c>
      <c r="AX128" s="4"/>
    </row>
    <row r="129" spans="1:50" x14ac:dyDescent="0.25">
      <c r="A129" t="s">
        <v>254</v>
      </c>
      <c r="B129">
        <v>255</v>
      </c>
      <c r="C129">
        <v>199</v>
      </c>
      <c r="D129">
        <v>44</v>
      </c>
      <c r="E129" s="68"/>
      <c r="F129">
        <v>200</v>
      </c>
      <c r="G129">
        <v>16</v>
      </c>
      <c r="H129">
        <v>46</v>
      </c>
      <c r="I129" s="97"/>
      <c r="J129">
        <v>0</v>
      </c>
      <c r="K129">
        <v>103</v>
      </c>
      <c r="L129">
        <v>71</v>
      </c>
      <c r="M129" s="172"/>
      <c r="N129">
        <v>105</v>
      </c>
      <c r="O129">
        <v>63</v>
      </c>
      <c r="P129">
        <v>35</v>
      </c>
      <c r="Q129" s="364"/>
      <c r="R129">
        <v>0</v>
      </c>
      <c r="S129">
        <v>0</v>
      </c>
      <c r="T129">
        <v>0</v>
      </c>
      <c r="U129" s="4"/>
      <c r="Y129" s="4"/>
      <c r="Z129">
        <f t="shared" si="12"/>
        <v>255</v>
      </c>
      <c r="AA129">
        <f t="shared" si="13"/>
        <v>255</v>
      </c>
      <c r="AB129">
        <f t="shared" si="14"/>
        <v>0</v>
      </c>
      <c r="AC129" s="9"/>
      <c r="AD129">
        <f t="shared" si="15"/>
        <v>255</v>
      </c>
      <c r="AE129">
        <f t="shared" si="16"/>
        <v>0</v>
      </c>
      <c r="AF129">
        <f t="shared" si="17"/>
        <v>0</v>
      </c>
      <c r="AG129" s="5"/>
      <c r="AH129">
        <f t="shared" si="21"/>
        <v>0</v>
      </c>
      <c r="AI129">
        <f t="shared" si="22"/>
        <v>127.5</v>
      </c>
      <c r="AJ129">
        <f t="shared" si="23"/>
        <v>127.5</v>
      </c>
      <c r="AK129" s="24"/>
      <c r="AL129">
        <f>SQRT((2+(($AL$3+Table4[[#This Row],[Red]])/2)/256)*($AL$3-Table4[[#This Row],[Red]])^2 + 4*($AM$3-Table4[[#This Row],[Green]])^2 + (2+(255-(($AL$3+Table4[[#This Row],[Red]])/2))/256 )*($AN$3-Table4[[#This Row],[Blue]])^2)</f>
        <v>63.371918071019437</v>
      </c>
      <c r="AM129">
        <f>SQRT((2+(($AO$3+Table4[[#This Row],[Red2]])/2)/256)*($AO$3-Table4[[#This Row],[Red2]])^2 + 4*($AP$3-Table4[[#This Row],[Green2]])^2 + (2+(255-(($AO$3+Table4[[#This Row],[Red2]])/2))/256 )*($AQ$3-Table4[[#This Row],[Blue2]])^2)</f>
        <v>319.62817753602388</v>
      </c>
      <c r="AN129">
        <f>SQRT(Table4[[#This Row],[diffPrimary]]^2+Table4[[#This Row],[diffSecondary]]^2)</f>
        <v>325.84992231854221</v>
      </c>
      <c r="AO129" s="2">
        <f>SQRT((2+(($AL$3+Table4[[#This Row],[Red2]])/2)/256)*($AL$3-Table4[[#This Row],[Red2]])^2 + 4*($AM$3-Table4[[#This Row],[Green2]])^2 + (2+(255-(($AL$3+Table4[[#This Row],[Red2]])/2))/256 )*($AN$3-Table4[[#This Row],[Blue2]])^2)</f>
        <v>395.07155947926066</v>
      </c>
      <c r="AP129" s="2">
        <f>SQRT((2+(($AO$3+Table4[[#This Row],[Red]])/2)/256)*($AO$3-Table4[[#This Row],[Red]])^2 + 4*($AP$3-Table4[[#This Row],[Green]])^2 + (2+(255-(($AO$3+Table4[[#This Row],[Red]])/2))/256 )*($AQ$3-Table4[[#This Row],[Blue]])^2)</f>
        <v>570.68004765969783</v>
      </c>
      <c r="AQ129" s="2">
        <f>SQRT(Table4[[#This Row],[diffPrimary2]]^2+Table4[[#This Row],[diffSecondary2]]^2)</f>
        <v>694.08735322454186</v>
      </c>
      <c r="AR129" s="786">
        <f>MIN(Table4[[#This Row],[MinOrig]],Table4[[#This Row],[MinSwap]])</f>
        <v>325.84992231854221</v>
      </c>
      <c r="AS129" s="2">
        <v>49.953103006720198</v>
      </c>
      <c r="AX129" s="4"/>
    </row>
    <row r="130" spans="1:50" x14ac:dyDescent="0.25">
      <c r="A130" t="s">
        <v>187</v>
      </c>
      <c r="B130">
        <v>4</v>
      </c>
      <c r="C130">
        <v>30</v>
      </c>
      <c r="D130">
        <v>66</v>
      </c>
      <c r="E130" s="69"/>
      <c r="F130">
        <v>187</v>
      </c>
      <c r="G130">
        <v>188</v>
      </c>
      <c r="H130">
        <v>188</v>
      </c>
      <c r="I130" s="389"/>
      <c r="J130">
        <v>255</v>
      </c>
      <c r="K130">
        <v>255</v>
      </c>
      <c r="L130">
        <v>255</v>
      </c>
      <c r="M130" s="3"/>
      <c r="Q130" s="4"/>
      <c r="U130" s="4"/>
      <c r="Y130" s="4"/>
      <c r="Z130">
        <f t="shared" si="12"/>
        <v>0</v>
      </c>
      <c r="AA130">
        <f t="shared" si="13"/>
        <v>0</v>
      </c>
      <c r="AB130">
        <f t="shared" si="14"/>
        <v>127.5</v>
      </c>
      <c r="AC130" s="26"/>
      <c r="AD130">
        <f t="shared" si="15"/>
        <v>127.5</v>
      </c>
      <c r="AE130">
        <f t="shared" si="16"/>
        <v>127.5</v>
      </c>
      <c r="AF130">
        <f t="shared" si="17"/>
        <v>127.5</v>
      </c>
      <c r="AG130" s="32"/>
      <c r="AH130">
        <f t="shared" si="21"/>
        <v>255</v>
      </c>
      <c r="AI130">
        <f t="shared" si="22"/>
        <v>255</v>
      </c>
      <c r="AJ130">
        <f t="shared" si="23"/>
        <v>255</v>
      </c>
      <c r="AK130" s="3"/>
      <c r="AL130">
        <f>SQRT((2+(($AL$3+Table4[[#This Row],[Red]])/2)/256)*($AL$3-Table4[[#This Row],[Red]])^2 + 4*($AM$3-Table4[[#This Row],[Green]])^2 + (2+(255-(($AL$3+Table4[[#This Row],[Red]])/2))/256 )*($AN$3-Table4[[#This Row],[Blue]])^2)</f>
        <v>539.64720644313081</v>
      </c>
      <c r="AM130">
        <f>SQRT((2+(($AO$3+Table4[[#This Row],[Red2]])/2)/256)*($AO$3-Table4[[#This Row],[Red2]])^2 + 4*($AP$3-Table4[[#This Row],[Green2]])^2 + (2+(255-(($AO$3+Table4[[#This Row],[Red2]])/2))/256 )*($AQ$3-Table4[[#This Row],[Blue2]])^2)</f>
        <v>563.0905563134362</v>
      </c>
      <c r="AN130">
        <f>SQRT(Table4[[#This Row],[diffPrimary]]^2+Table4[[#This Row],[diffSecondary]]^2)</f>
        <v>779.92953658086969</v>
      </c>
      <c r="AO130" s="2">
        <f>SQRT((2+(($AL$3+Table4[[#This Row],[Red2]])/2)/256)*($AL$3-Table4[[#This Row],[Red2]])^2 + 4*($AM$3-Table4[[#This Row],[Green2]])^2 + (2+(255-(($AL$3+Table4[[#This Row],[Red2]])/2))/256 )*($AN$3-Table4[[#This Row],[Blue2]])^2)</f>
        <v>299.629667256098</v>
      </c>
      <c r="AP130" s="2">
        <f>SQRT((2+(($AO$3+Table4[[#This Row],[Red]])/2)/256)*($AO$3-Table4[[#This Row],[Red]])^2 + 4*($AP$3-Table4[[#This Row],[Green]])^2 + (2+(255-(($AO$3+Table4[[#This Row],[Red]])/2))/256 )*($AQ$3-Table4[[#This Row],[Blue]])^2)</f>
        <v>129.03130676312628</v>
      </c>
      <c r="AQ130" s="2">
        <f>SQRT(Table4[[#This Row],[diffPrimary2]]^2+Table4[[#This Row],[diffSecondary2]]^2)</f>
        <v>326.23153683388739</v>
      </c>
      <c r="AR130" s="786">
        <f>MIN(Table4[[#This Row],[MinOrig]],Table4[[#This Row],[MinSwap]])</f>
        <v>326.23153683388739</v>
      </c>
      <c r="AS130" s="2">
        <v>13.9982560297703</v>
      </c>
      <c r="AX130" s="4"/>
    </row>
    <row r="131" spans="1:50" x14ac:dyDescent="0.25">
      <c r="A131" t="s">
        <v>144</v>
      </c>
      <c r="B131">
        <v>21</v>
      </c>
      <c r="C131">
        <v>33</v>
      </c>
      <c r="D131">
        <v>59</v>
      </c>
      <c r="E131" s="333"/>
      <c r="F131">
        <v>153</v>
      </c>
      <c r="G131">
        <v>157</v>
      </c>
      <c r="H131">
        <v>158</v>
      </c>
      <c r="I131" s="334"/>
      <c r="J131">
        <v>255</v>
      </c>
      <c r="K131">
        <v>255</v>
      </c>
      <c r="L131">
        <v>255</v>
      </c>
      <c r="M131" s="3"/>
      <c r="Q131" s="4"/>
      <c r="U131" s="4"/>
      <c r="Y131" s="4"/>
      <c r="Z131">
        <f t="shared" si="12"/>
        <v>0</v>
      </c>
      <c r="AA131">
        <f t="shared" si="13"/>
        <v>0</v>
      </c>
      <c r="AB131">
        <f t="shared" si="14"/>
        <v>0</v>
      </c>
      <c r="AC131" s="4"/>
      <c r="AD131">
        <f t="shared" si="15"/>
        <v>127.5</v>
      </c>
      <c r="AE131">
        <f t="shared" si="16"/>
        <v>127.5</v>
      </c>
      <c r="AF131">
        <f t="shared" si="17"/>
        <v>127.5</v>
      </c>
      <c r="AG131" s="32"/>
      <c r="AH131">
        <f t="shared" si="21"/>
        <v>255</v>
      </c>
      <c r="AI131">
        <f t="shared" si="22"/>
        <v>255</v>
      </c>
      <c r="AJ131">
        <f t="shared" si="23"/>
        <v>255</v>
      </c>
      <c r="AK131" s="3"/>
      <c r="AL131">
        <f>SQRT((2+(($AL$3+Table4[[#This Row],[Red]])/2)/256)*($AL$3-Table4[[#This Row],[Red]])^2 + 4*($AM$3-Table4[[#This Row],[Green]])^2 + (2+(255-(($AL$3+Table4[[#This Row],[Red]])/2))/256 )*($AN$3-Table4[[#This Row],[Blue]])^2)</f>
        <v>515.67221374750261</v>
      </c>
      <c r="AM131">
        <f>SQRT((2+(($AO$3+Table4[[#This Row],[Red2]])/2)/256)*($AO$3-Table4[[#This Row],[Red2]])^2 + 4*($AP$3-Table4[[#This Row],[Green2]])^2 + (2+(255-(($AO$3+Table4[[#This Row],[Red2]])/2))/256 )*($AQ$3-Table4[[#This Row],[Blue2]])^2)</f>
        <v>468.76839338912879</v>
      </c>
      <c r="AN131">
        <f>SQRT(Table4[[#This Row],[diffPrimary]]^2+Table4[[#This Row],[diffSecondary]]^2)</f>
        <v>696.8942808431384</v>
      </c>
      <c r="AO131" s="2">
        <f>SQRT((2+(($AL$3+Table4[[#This Row],[Red2]])/2)/256)*($AL$3-Table4[[#This Row],[Red2]])^2 + 4*($AM$3-Table4[[#This Row],[Green2]])^2 + (2+(255-(($AL$3+Table4[[#This Row],[Red2]])/2))/256 )*($AN$3-Table4[[#This Row],[Blue2]])^2)</f>
        <v>305.31292860768275</v>
      </c>
      <c r="AP131" s="2">
        <f>SQRT((2+(($AO$3+Table4[[#This Row],[Red]])/2)/256)*($AO$3-Table4[[#This Row],[Red]])^2 + 4*($AP$3-Table4[[#This Row],[Green]])^2 + (2+(255-(($AO$3+Table4[[#This Row],[Red]])/2))/256 )*($AQ$3-Table4[[#This Row],[Blue]])^2)</f>
        <v>124.6704248960033</v>
      </c>
      <c r="AQ131" s="2">
        <f>SQRT(Table4[[#This Row],[diffPrimary2]]^2+Table4[[#This Row],[diffSecondary2]]^2)</f>
        <v>329.78583841449284</v>
      </c>
      <c r="AR131" s="786">
        <f>MIN(Table4[[#This Row],[MinOrig]],Table4[[#This Row],[MinSwap]])</f>
        <v>329.78583841449284</v>
      </c>
      <c r="AS131" s="2">
        <v>21.9411499812567</v>
      </c>
      <c r="AX131" s="4"/>
    </row>
    <row r="132" spans="1:50" x14ac:dyDescent="0.25">
      <c r="A132" t="s">
        <v>66</v>
      </c>
      <c r="B132">
        <v>0</v>
      </c>
      <c r="C132">
        <v>83</v>
      </c>
      <c r="D132">
        <v>159</v>
      </c>
      <c r="E132" s="208"/>
      <c r="F132">
        <v>255</v>
      </c>
      <c r="G132">
        <v>221</v>
      </c>
      <c r="H132">
        <v>49</v>
      </c>
      <c r="I132" s="209"/>
      <c r="J132">
        <v>255</v>
      </c>
      <c r="K132">
        <v>210</v>
      </c>
      <c r="L132">
        <v>0</v>
      </c>
      <c r="M132" s="210"/>
      <c r="Q132" s="4"/>
      <c r="U132" s="4"/>
      <c r="Y132" s="4"/>
      <c r="Z132">
        <f t="shared" si="12"/>
        <v>0</v>
      </c>
      <c r="AA132">
        <f t="shared" si="13"/>
        <v>127.5</v>
      </c>
      <c r="AB132">
        <f t="shared" si="14"/>
        <v>127.5</v>
      </c>
      <c r="AC132" s="24"/>
      <c r="AD132">
        <f t="shared" si="15"/>
        <v>255</v>
      </c>
      <c r="AE132">
        <f t="shared" si="16"/>
        <v>255</v>
      </c>
      <c r="AF132">
        <f t="shared" si="17"/>
        <v>0</v>
      </c>
      <c r="AG132" s="9"/>
      <c r="AH132">
        <f t="shared" si="21"/>
        <v>255</v>
      </c>
      <c r="AI132">
        <f t="shared" si="22"/>
        <v>255</v>
      </c>
      <c r="AJ132">
        <f t="shared" si="23"/>
        <v>0</v>
      </c>
      <c r="AK132" s="9"/>
      <c r="AL132">
        <f>SQRT((2+(($AL$3+Table4[[#This Row],[Red]])/2)/256)*($AL$3-Table4[[#This Row],[Red]])^2 + 4*($AM$3-Table4[[#This Row],[Green]])^2 + (2+(255-(($AL$3+Table4[[#This Row],[Red]])/2))/256 )*($AN$3-Table4[[#This Row],[Blue]])^2)</f>
        <v>533.97061819331407</v>
      </c>
      <c r="AM132">
        <f>SQRT((2+(($AO$3+Table4[[#This Row],[Red2]])/2)/256)*($AO$3-Table4[[#This Row],[Red2]])^2 + 4*($AP$3-Table4[[#This Row],[Green2]])^2 + (2+(255-(($AO$3+Table4[[#This Row],[Red2]])/2))/256 )*($AQ$3-Table4[[#This Row],[Blue2]])^2)</f>
        <v>603.15612290164972</v>
      </c>
      <c r="AN132">
        <f>SQRT(Table4[[#This Row],[diffPrimary]]^2+Table4[[#This Row],[diffSecondary]]^2)</f>
        <v>805.55690654819659</v>
      </c>
      <c r="AO132" s="2">
        <f>SQRT((2+(($AL$3+Table4[[#This Row],[Red2]])/2)/256)*($AL$3-Table4[[#This Row],[Red2]])^2 + 4*($AM$3-Table4[[#This Row],[Green2]])^2 + (2+(255-(($AL$3+Table4[[#This Row],[Red2]])/2))/256 )*($AN$3-Table4[[#This Row],[Blue2]])^2)</f>
        <v>76.328238549045523</v>
      </c>
      <c r="AP132" s="2">
        <f>SQRT((2+(($AO$3+Table4[[#This Row],[Red]])/2)/256)*($AO$3-Table4[[#This Row],[Red]])^2 + 4*($AP$3-Table4[[#This Row],[Green]])^2 + (2+(255-(($AO$3+Table4[[#This Row],[Red]])/2))/256 )*($AQ$3-Table4[[#This Row],[Blue]])^2)</f>
        <v>321.40355644228646</v>
      </c>
      <c r="AQ132" s="2">
        <f>SQRT(Table4[[#This Row],[diffPrimary2]]^2+Table4[[#This Row],[diffSecondary2]]^2)</f>
        <v>330.34261925121018</v>
      </c>
      <c r="AR132" s="786">
        <f>MIN(Table4[[#This Row],[MinOrig]],Table4[[#This Row],[MinSwap]])</f>
        <v>330.34261925121018</v>
      </c>
      <c r="AS132" s="2">
        <v>67.719550352907703</v>
      </c>
      <c r="AX132" s="4"/>
    </row>
    <row r="133" spans="1:50" x14ac:dyDescent="0.25">
      <c r="A133" t="s">
        <v>340</v>
      </c>
      <c r="B133">
        <v>12</v>
      </c>
      <c r="C133">
        <v>35</v>
      </c>
      <c r="D133">
        <v>64</v>
      </c>
      <c r="E133" s="90"/>
      <c r="F133">
        <v>158</v>
      </c>
      <c r="G133">
        <v>162</v>
      </c>
      <c r="H133">
        <v>163</v>
      </c>
      <c r="I133" s="481"/>
      <c r="J133">
        <v>0</v>
      </c>
      <c r="K133">
        <v>153</v>
      </c>
      <c r="L133">
        <v>204</v>
      </c>
      <c r="M133" s="320"/>
      <c r="Q133" s="4"/>
      <c r="U133" s="4"/>
      <c r="Y133" s="4"/>
      <c r="Z133">
        <f t="shared" ref="Z133:Z196" si="24">ROUND(B133/255*$AA$2,0)*$AC$2/$AA$2</f>
        <v>0</v>
      </c>
      <c r="AA133">
        <f t="shared" ref="AA133:AA196" si="25">ROUND(C133/255*$AA$2,0)*$AC$2/$AA$2</f>
        <v>0</v>
      </c>
      <c r="AB133">
        <f t="shared" ref="AB133:AB196" si="26">ROUND(D133/255*$AA$2,0)*$AC$2/$AA$2</f>
        <v>127.5</v>
      </c>
      <c r="AC133" s="26"/>
      <c r="AD133">
        <f t="shared" ref="AD133:AD196" si="27">ROUND(F133/255*$AA$2,0)*$AC$2/$AA$2</f>
        <v>127.5</v>
      </c>
      <c r="AE133">
        <f t="shared" ref="AE133:AE196" si="28">ROUND(G133/255*$AA$2,0)*$AC$2/$AA$2</f>
        <v>127.5</v>
      </c>
      <c r="AF133">
        <f t="shared" ref="AF133:AF196" si="29">ROUND(H133/255*$AA$2,0)*$AC$2/$AA$2</f>
        <v>127.5</v>
      </c>
      <c r="AG133" s="32"/>
      <c r="AH133">
        <f t="shared" si="21"/>
        <v>0</v>
      </c>
      <c r="AI133">
        <f t="shared" si="22"/>
        <v>127.5</v>
      </c>
      <c r="AJ133">
        <f t="shared" si="23"/>
        <v>255</v>
      </c>
      <c r="AK133" s="36"/>
      <c r="AL133">
        <f>SQRT((2+(($AL$3+Table4[[#This Row],[Red]])/2)/256)*($AL$3-Table4[[#This Row],[Red]])^2 + 4*($AM$3-Table4[[#This Row],[Green]])^2 + (2+(255-(($AL$3+Table4[[#This Row],[Red]])/2))/256 )*($AN$3-Table4[[#This Row],[Blue]])^2)</f>
        <v>524.04878671682377</v>
      </c>
      <c r="AM133">
        <f>SQRT((2+(($AO$3+Table4[[#This Row],[Red2]])/2)/256)*($AO$3-Table4[[#This Row],[Red2]])^2 + 4*($AP$3-Table4[[#This Row],[Green2]])^2 + (2+(255-(($AO$3+Table4[[#This Row],[Red2]])/2))/256 )*($AQ$3-Table4[[#This Row],[Blue2]])^2)</f>
        <v>483.74778746264047</v>
      </c>
      <c r="AN133">
        <f>SQRT(Table4[[#This Row],[diffPrimary]]^2+Table4[[#This Row],[diffSecondary]]^2)</f>
        <v>713.18935265073537</v>
      </c>
      <c r="AO133" s="2">
        <f>SQRT((2+(($AL$3+Table4[[#This Row],[Red2]])/2)/256)*($AL$3-Table4[[#This Row],[Red2]])^2 + 4*($AM$3-Table4[[#This Row],[Green2]])^2 + (2+(255-(($AL$3+Table4[[#This Row],[Red2]])/2))/256 )*($AN$3-Table4[[#This Row],[Blue2]])^2)</f>
        <v>303.27423517132149</v>
      </c>
      <c r="AP133" s="2">
        <f>SQRT((2+(($AO$3+Table4[[#This Row],[Red]])/2)/256)*($AO$3-Table4[[#This Row],[Red]])^2 + 4*($AP$3-Table4[[#This Row],[Green]])^2 + (2+(255-(($AO$3+Table4[[#This Row],[Red]])/2))/256 )*($AQ$3-Table4[[#This Row],[Blue]])^2)</f>
        <v>131.78533681711332</v>
      </c>
      <c r="AQ133" s="2">
        <f>SQRT(Table4[[#This Row],[diffPrimary2]]^2+Table4[[#This Row],[diffSecondary2]]^2)</f>
        <v>330.66998158095635</v>
      </c>
      <c r="AR133" s="786">
        <f>MIN(Table4[[#This Row],[MinOrig]],Table4[[#This Row],[MinSwap]])</f>
        <v>330.66998158095635</v>
      </c>
      <c r="AS133" s="2">
        <v>21.9411499812567</v>
      </c>
      <c r="AX133" s="4"/>
    </row>
    <row r="134" spans="1:50" x14ac:dyDescent="0.25">
      <c r="A134" t="s">
        <v>97</v>
      </c>
      <c r="B134">
        <v>4</v>
      </c>
      <c r="C134">
        <v>30</v>
      </c>
      <c r="D134">
        <v>66</v>
      </c>
      <c r="E134" s="69"/>
      <c r="F134">
        <v>141</v>
      </c>
      <c r="G134">
        <v>129</v>
      </c>
      <c r="H134">
        <v>123</v>
      </c>
      <c r="I134" s="259"/>
      <c r="M134" s="4"/>
      <c r="Q134" s="4"/>
      <c r="U134" s="4"/>
      <c r="Y134" s="4"/>
      <c r="Z134">
        <f t="shared" si="24"/>
        <v>0</v>
      </c>
      <c r="AA134">
        <f t="shared" si="25"/>
        <v>0</v>
      </c>
      <c r="AB134">
        <f t="shared" si="26"/>
        <v>127.5</v>
      </c>
      <c r="AC134" s="26"/>
      <c r="AD134">
        <f t="shared" si="27"/>
        <v>127.5</v>
      </c>
      <c r="AE134">
        <f t="shared" si="28"/>
        <v>127.5</v>
      </c>
      <c r="AF134">
        <f t="shared" si="29"/>
        <v>127.5</v>
      </c>
      <c r="AG134" s="32"/>
      <c r="AH134">
        <f t="shared" si="21"/>
        <v>0</v>
      </c>
      <c r="AI134">
        <f t="shared" si="22"/>
        <v>0</v>
      </c>
      <c r="AJ134">
        <f t="shared" si="23"/>
        <v>0</v>
      </c>
      <c r="AK134" s="4"/>
      <c r="AL134">
        <f>SQRT((2+(($AL$3+Table4[[#This Row],[Red]])/2)/256)*($AL$3-Table4[[#This Row],[Red]])^2 + 4*($AM$3-Table4[[#This Row],[Green]])^2 + (2+(255-(($AL$3+Table4[[#This Row],[Red]])/2))/256 )*($AN$3-Table4[[#This Row],[Blue]])^2)</f>
        <v>539.64720644313081</v>
      </c>
      <c r="AM134">
        <f>SQRT((2+(($AO$3+Table4[[#This Row],[Red2]])/2)/256)*($AO$3-Table4[[#This Row],[Red2]])^2 + 4*($AP$3-Table4[[#This Row],[Green2]])^2 + (2+(255-(($AO$3+Table4[[#This Row],[Red2]])/2))/256 )*($AQ$3-Table4[[#This Row],[Blue2]])^2)</f>
        <v>391.10428097088123</v>
      </c>
      <c r="AN134">
        <f>SQRT(Table4[[#This Row],[diffPrimary]]^2+Table4[[#This Row],[diffSecondary]]^2)</f>
        <v>666.46955370491241</v>
      </c>
      <c r="AO134" s="2">
        <f>SQRT((2+(($AL$3+Table4[[#This Row],[Red2]])/2)/256)*($AL$3-Table4[[#This Row],[Red2]])^2 + 4*($AM$3-Table4[[#This Row],[Green2]])^2 + (2+(255-(($AL$3+Table4[[#This Row],[Red2]])/2))/256 )*($AN$3-Table4[[#This Row],[Blue2]])^2)</f>
        <v>304.5885095604396</v>
      </c>
      <c r="AP134" s="2">
        <f>SQRT((2+(($AO$3+Table4[[#This Row],[Red]])/2)/256)*($AO$3-Table4[[#This Row],[Red]])^2 + 4*($AP$3-Table4[[#This Row],[Green]])^2 + (2+(255-(($AO$3+Table4[[#This Row],[Red]])/2))/256 )*($AQ$3-Table4[[#This Row],[Blue]])^2)</f>
        <v>129.03130676312628</v>
      </c>
      <c r="AQ134" s="2">
        <f>SQRT(Table4[[#This Row],[diffPrimary2]]^2+Table4[[#This Row],[diffSecondary2]]^2)</f>
        <v>330.79183526993228</v>
      </c>
      <c r="AR134" s="786">
        <f>MIN(Table4[[#This Row],[MinOrig]],Table4[[#This Row],[MinSwap]])</f>
        <v>330.79183526993228</v>
      </c>
      <c r="AS134" s="2">
        <v>57.0378848880286</v>
      </c>
      <c r="AX134" s="4"/>
    </row>
    <row r="135" spans="1:50" x14ac:dyDescent="0.25">
      <c r="A135" t="s">
        <v>261</v>
      </c>
      <c r="B135">
        <v>0</v>
      </c>
      <c r="C135">
        <v>103</v>
      </c>
      <c r="D135">
        <v>71</v>
      </c>
      <c r="E135" s="172"/>
      <c r="F135">
        <v>207</v>
      </c>
      <c r="G135">
        <v>196</v>
      </c>
      <c r="H135">
        <v>147</v>
      </c>
      <c r="I135" s="490"/>
      <c r="M135" s="4"/>
      <c r="Q135" s="4"/>
      <c r="U135" s="4"/>
      <c r="Y135" s="4"/>
      <c r="Z135">
        <f t="shared" si="24"/>
        <v>0</v>
      </c>
      <c r="AA135">
        <f t="shared" si="25"/>
        <v>127.5</v>
      </c>
      <c r="AB135">
        <f t="shared" si="26"/>
        <v>127.5</v>
      </c>
      <c r="AC135" s="24"/>
      <c r="AD135">
        <f t="shared" si="27"/>
        <v>255</v>
      </c>
      <c r="AE135">
        <f t="shared" si="28"/>
        <v>255</v>
      </c>
      <c r="AF135">
        <f t="shared" si="29"/>
        <v>127.5</v>
      </c>
      <c r="AG135" s="29"/>
      <c r="AH135">
        <f t="shared" si="21"/>
        <v>0</v>
      </c>
      <c r="AI135">
        <f t="shared" si="22"/>
        <v>0</v>
      </c>
      <c r="AJ135">
        <f t="shared" si="23"/>
        <v>0</v>
      </c>
      <c r="AK135" s="4"/>
      <c r="AL135">
        <f>SQRT((2+(($AL$3+Table4[[#This Row],[Red]])/2)/256)*($AL$3-Table4[[#This Row],[Red]])^2 + 4*($AM$3-Table4[[#This Row],[Green]])^2 + (2+(255-(($AL$3+Table4[[#This Row],[Red]])/2))/256 )*($AN$3-Table4[[#This Row],[Blue]])^2)</f>
        <v>465.45048323505904</v>
      </c>
      <c r="AM135">
        <f>SQRT((2+(($AO$3+Table4[[#This Row],[Red2]])/2)/256)*($AO$3-Table4[[#This Row],[Red2]])^2 + 4*($AP$3-Table4[[#This Row],[Green2]])^2 + (2+(255-(($AO$3+Table4[[#This Row],[Red2]])/2))/256 )*($AQ$3-Table4[[#This Row],[Blue2]])^2)</f>
        <v>559.18856879298778</v>
      </c>
      <c r="AN135">
        <f>SQRT(Table4[[#This Row],[diffPrimary]]^2+Table4[[#This Row],[diffSecondary]]^2)</f>
        <v>727.55481430095699</v>
      </c>
      <c r="AO135" s="2">
        <f>SQRT((2+(($AL$3+Table4[[#This Row],[Red2]])/2)/256)*($AL$3-Table4[[#This Row],[Red2]])^2 + 4*($AM$3-Table4[[#This Row],[Green2]])^2 + (2+(255-(($AL$3+Table4[[#This Row],[Red2]])/2))/256 )*($AN$3-Table4[[#This Row],[Blue2]])^2)</f>
        <v>228.59318395350286</v>
      </c>
      <c r="AP135" s="2">
        <f>SQRT((2+(($AO$3+Table4[[#This Row],[Red]])/2)/256)*($AO$3-Table4[[#This Row],[Red]])^2 + 4*($AP$3-Table4[[#This Row],[Green]])^2 + (2+(255-(($AO$3+Table4[[#This Row],[Red]])/2))/256 )*($AQ$3-Table4[[#This Row],[Blue]])^2)</f>
        <v>239.87352624612413</v>
      </c>
      <c r="AQ135" s="2">
        <f>SQRT(Table4[[#This Row],[diffPrimary2]]^2+Table4[[#This Row],[diffSecondary2]]^2)</f>
        <v>331.35200669944646</v>
      </c>
      <c r="AR135" s="786">
        <f>MIN(Table4[[#This Row],[MinOrig]],Table4[[#This Row],[MinSwap]])</f>
        <v>331.35200669944646</v>
      </c>
      <c r="AS135" s="2">
        <v>70.788927563743997</v>
      </c>
      <c r="AX135" s="4"/>
    </row>
    <row r="136" spans="1:50" x14ac:dyDescent="0.25">
      <c r="A136" t="s">
        <v>276</v>
      </c>
      <c r="B136">
        <v>0</v>
      </c>
      <c r="C136">
        <v>103</v>
      </c>
      <c r="D136">
        <v>71</v>
      </c>
      <c r="E136" s="172"/>
      <c r="F136">
        <v>181</v>
      </c>
      <c r="G136">
        <v>129</v>
      </c>
      <c r="H136">
        <v>80</v>
      </c>
      <c r="I136" s="519"/>
      <c r="J136">
        <v>158</v>
      </c>
      <c r="K136">
        <v>101</v>
      </c>
      <c r="L136">
        <v>46</v>
      </c>
      <c r="M136" s="520"/>
      <c r="N136">
        <v>0</v>
      </c>
      <c r="O136">
        <v>0</v>
      </c>
      <c r="P136">
        <v>0</v>
      </c>
      <c r="Q136" s="4"/>
      <c r="R136">
        <v>255</v>
      </c>
      <c r="S136">
        <v>255</v>
      </c>
      <c r="T136">
        <v>255</v>
      </c>
      <c r="U136" s="3"/>
      <c r="Y136" s="4"/>
      <c r="Z136">
        <f t="shared" si="24"/>
        <v>0</v>
      </c>
      <c r="AA136">
        <f t="shared" si="25"/>
        <v>127.5</v>
      </c>
      <c r="AB136">
        <f t="shared" si="26"/>
        <v>127.5</v>
      </c>
      <c r="AC136" s="24"/>
      <c r="AD136">
        <f t="shared" si="27"/>
        <v>127.5</v>
      </c>
      <c r="AE136">
        <f t="shared" si="28"/>
        <v>127.5</v>
      </c>
      <c r="AF136">
        <f t="shared" si="29"/>
        <v>127.5</v>
      </c>
      <c r="AG136" s="32"/>
      <c r="AH136">
        <f t="shared" si="21"/>
        <v>127.5</v>
      </c>
      <c r="AI136">
        <f t="shared" si="22"/>
        <v>127.5</v>
      </c>
      <c r="AJ136">
        <f t="shared" si="23"/>
        <v>0</v>
      </c>
      <c r="AK136" s="33"/>
      <c r="AL136">
        <f>SQRT((2+(($AL$3+Table4[[#This Row],[Red]])/2)/256)*($AL$3-Table4[[#This Row],[Red]])^2 + 4*($AM$3-Table4[[#This Row],[Green]])^2 + (2+(255-(($AL$3+Table4[[#This Row],[Red]])/2))/256 )*($AN$3-Table4[[#This Row],[Blue]])^2)</f>
        <v>465.45048323505904</v>
      </c>
      <c r="AM136">
        <f>SQRT((2+(($AO$3+Table4[[#This Row],[Red2]])/2)/256)*($AO$3-Table4[[#This Row],[Red2]])^2 + 4*($AP$3-Table4[[#This Row],[Green2]])^2 + (2+(255-(($AO$3+Table4[[#This Row],[Red2]])/2))/256 )*($AQ$3-Table4[[#This Row],[Blue2]])^2)</f>
        <v>400.72437583783818</v>
      </c>
      <c r="AN136">
        <f>SQRT(Table4[[#This Row],[diffPrimary]]^2+Table4[[#This Row],[diffSecondary]]^2)</f>
        <v>614.18578437991789</v>
      </c>
      <c r="AO136" s="2">
        <f>SQRT((2+(($AL$3+Table4[[#This Row],[Red2]])/2)/256)*($AL$3-Table4[[#This Row],[Red2]])^2 + 4*($AM$3-Table4[[#This Row],[Green2]])^2 + (2+(255-(($AL$3+Table4[[#This Row],[Red2]])/2))/256 )*($AN$3-Table4[[#This Row],[Blue2]])^2)</f>
        <v>229.00689127185672</v>
      </c>
      <c r="AP136" s="2">
        <f>SQRT((2+(($AO$3+Table4[[#This Row],[Red]])/2)/256)*($AO$3-Table4[[#This Row],[Red]])^2 + 4*($AP$3-Table4[[#This Row],[Green]])^2 + (2+(255-(($AO$3+Table4[[#This Row],[Red]])/2))/256 )*($AQ$3-Table4[[#This Row],[Blue]])^2)</f>
        <v>239.87352624612413</v>
      </c>
      <c r="AQ136" s="2">
        <f>SQRT(Table4[[#This Row],[diffPrimary2]]^2+Table4[[#This Row],[diffSecondary2]]^2)</f>
        <v>331.63755041272088</v>
      </c>
      <c r="AR136" s="786">
        <f>MIN(Table4[[#This Row],[MinOrig]],Table4[[#This Row],[MinSwap]])</f>
        <v>331.63755041272088</v>
      </c>
      <c r="AS136" s="2">
        <v>54.735336221220003</v>
      </c>
      <c r="AX136" s="4"/>
    </row>
    <row r="137" spans="1:50" x14ac:dyDescent="0.25">
      <c r="A137" t="s">
        <v>411</v>
      </c>
      <c r="B137">
        <v>203</v>
      </c>
      <c r="C137">
        <v>51</v>
      </c>
      <c r="D137">
        <v>59</v>
      </c>
      <c r="E137" s="294"/>
      <c r="F137">
        <v>0</v>
      </c>
      <c r="G137">
        <v>0</v>
      </c>
      <c r="H137">
        <v>0</v>
      </c>
      <c r="I137" s="4"/>
      <c r="M137" s="4"/>
      <c r="Q137" s="4"/>
      <c r="U137" s="4"/>
      <c r="Y137" s="4"/>
      <c r="Z137">
        <f t="shared" si="24"/>
        <v>255</v>
      </c>
      <c r="AA137">
        <f t="shared" si="25"/>
        <v>0</v>
      </c>
      <c r="AB137">
        <f t="shared" si="26"/>
        <v>0</v>
      </c>
      <c r="AC137" s="5"/>
      <c r="AD137">
        <f t="shared" si="27"/>
        <v>0</v>
      </c>
      <c r="AE137">
        <f t="shared" si="28"/>
        <v>0</v>
      </c>
      <c r="AF137">
        <f t="shared" si="29"/>
        <v>0</v>
      </c>
      <c r="AG137" s="4"/>
      <c r="AH137">
        <f t="shared" si="21"/>
        <v>0</v>
      </c>
      <c r="AI137">
        <f t="shared" si="22"/>
        <v>0</v>
      </c>
      <c r="AJ137">
        <f t="shared" si="23"/>
        <v>0</v>
      </c>
      <c r="AK137" s="4"/>
      <c r="AL137">
        <f>SQRT((2+(($AL$3+Table4[[#This Row],[Red]])/2)/256)*($AL$3-Table4[[#This Row],[Red]])^2 + 4*($AM$3-Table4[[#This Row],[Green]])^2 + (2+(255-(($AL$3+Table4[[#This Row],[Red]])/2))/256 )*($AN$3-Table4[[#This Row],[Blue]])^2)</f>
        <v>331.67205423806814</v>
      </c>
      <c r="AM137">
        <f>SQRT((2+(($AO$3+Table4[[#This Row],[Red2]])/2)/256)*($AO$3-Table4[[#This Row],[Red2]])^2 + 4*($AP$3-Table4[[#This Row],[Green2]])^2 + (2+(255-(($AO$3+Table4[[#This Row],[Red2]])/2))/256 )*($AQ$3-Table4[[#This Row],[Blue2]])^2)</f>
        <v>0</v>
      </c>
      <c r="AN137">
        <f>SQRT(Table4[[#This Row],[diffPrimary]]^2+Table4[[#This Row],[diffSecondary]]^2)</f>
        <v>331.67205423806814</v>
      </c>
      <c r="AO137" s="2">
        <f>SQRT((2+(($AL$3+Table4[[#This Row],[Red2]])/2)/256)*($AL$3-Table4[[#This Row],[Red2]])^2 + 4*($AM$3-Table4[[#This Row],[Green2]])^2 + (2+(255-(($AL$3+Table4[[#This Row],[Red2]])/2))/256 )*($AN$3-Table4[[#This Row],[Blue2]])^2)</f>
        <v>574.92216694686158</v>
      </c>
      <c r="AP137" s="2">
        <f>SQRT((2+(($AO$3+Table4[[#This Row],[Red]])/2)/256)*($AO$3-Table4[[#This Row],[Red]])^2 + 4*($AP$3-Table4[[#This Row],[Green]])^2 + (2+(255-(($AO$3+Table4[[#This Row],[Red]])/2))/256 )*($AQ$3-Table4[[#This Row],[Blue]])^2)</f>
        <v>343.81676056258516</v>
      </c>
      <c r="AQ137" s="2">
        <f>SQRT(Table4[[#This Row],[diffPrimary2]]^2+Table4[[#This Row],[diffSecondary2]]^2)</f>
        <v>669.8846638717929</v>
      </c>
      <c r="AR137" s="786">
        <f>MIN(Table4[[#This Row],[MinOrig]],Table4[[#This Row],[MinSwap]])</f>
        <v>331.67205423806814</v>
      </c>
      <c r="AS137" s="2">
        <v>46.099819515644498</v>
      </c>
      <c r="AX137" s="4"/>
    </row>
    <row r="138" spans="1:50" x14ac:dyDescent="0.25">
      <c r="A138" t="s">
        <v>201</v>
      </c>
      <c r="B138">
        <v>3</v>
      </c>
      <c r="C138">
        <v>27</v>
      </c>
      <c r="D138">
        <v>73</v>
      </c>
      <c r="E138" s="410"/>
      <c r="F138">
        <v>186</v>
      </c>
      <c r="G138">
        <v>188</v>
      </c>
      <c r="H138">
        <v>190</v>
      </c>
      <c r="I138" s="411"/>
      <c r="J138">
        <v>255</v>
      </c>
      <c r="K138">
        <v>255</v>
      </c>
      <c r="L138">
        <v>255</v>
      </c>
      <c r="M138" s="3"/>
      <c r="Q138" s="4"/>
      <c r="U138" s="4"/>
      <c r="Y138" s="4"/>
      <c r="Z138">
        <f t="shared" si="24"/>
        <v>0</v>
      </c>
      <c r="AA138">
        <f t="shared" si="25"/>
        <v>0</v>
      </c>
      <c r="AB138">
        <f t="shared" si="26"/>
        <v>127.5</v>
      </c>
      <c r="AC138" s="26"/>
      <c r="AD138">
        <f t="shared" si="27"/>
        <v>127.5</v>
      </c>
      <c r="AE138">
        <f t="shared" si="28"/>
        <v>127.5</v>
      </c>
      <c r="AF138">
        <f t="shared" si="29"/>
        <v>127.5</v>
      </c>
      <c r="AG138" s="32"/>
      <c r="AH138">
        <f t="shared" si="21"/>
        <v>255</v>
      </c>
      <c r="AI138">
        <f t="shared" si="22"/>
        <v>255</v>
      </c>
      <c r="AJ138">
        <f t="shared" si="23"/>
        <v>255</v>
      </c>
      <c r="AK138" s="3"/>
      <c r="AL138">
        <f>SQRT((2+(($AL$3+Table4[[#This Row],[Red]])/2)/256)*($AL$3-Table4[[#This Row],[Red]])^2 + 4*($AM$3-Table4[[#This Row],[Green]])^2 + (2+(255-(($AL$3+Table4[[#This Row],[Red]])/2))/256 )*($AN$3-Table4[[#This Row],[Blue]])^2)</f>
        <v>546.83171971594697</v>
      </c>
      <c r="AM138">
        <f>SQRT((2+(($AO$3+Table4[[#This Row],[Red2]])/2)/256)*($AO$3-Table4[[#This Row],[Red2]])^2 + 4*($AP$3-Table4[[#This Row],[Green2]])^2 + (2+(255-(($AO$3+Table4[[#This Row],[Red2]])/2))/256 )*($AQ$3-Table4[[#This Row],[Blue2]])^2)</f>
        <v>564.07500332402606</v>
      </c>
      <c r="AN138">
        <f>SQRT(Table4[[#This Row],[diffPrimary]]^2+Table4[[#This Row],[diffSecondary]]^2)</f>
        <v>785.62429892570151</v>
      </c>
      <c r="AO138" s="2">
        <f>SQRT((2+(($AL$3+Table4[[#This Row],[Red2]])/2)/256)*($AL$3-Table4[[#This Row],[Red2]])^2 + 4*($AM$3-Table4[[#This Row],[Green2]])^2 + (2+(255-(($AL$3+Table4[[#This Row],[Red2]])/2))/256 )*($AN$3-Table4[[#This Row],[Blue2]])^2)</f>
        <v>303.05745703682163</v>
      </c>
      <c r="AP138" s="2">
        <f>SQRT((2+(($AO$3+Table4[[#This Row],[Red]])/2)/256)*($AO$3-Table4[[#This Row],[Red]])^2 + 4*($AP$3-Table4[[#This Row],[Green]])^2 + (2+(255-(($AO$3+Table4[[#This Row],[Red]])/2))/256 )*($AQ$3-Table4[[#This Row],[Blue]])^2)</f>
        <v>137.36452132464919</v>
      </c>
      <c r="AQ138" s="2">
        <f>SQRT(Table4[[#This Row],[diffPrimary2]]^2+Table4[[#This Row],[diffSecondary2]]^2)</f>
        <v>332.7353813233197</v>
      </c>
      <c r="AR138" s="786">
        <f>MIN(Table4[[#This Row],[MinOrig]],Table4[[#This Row],[MinSwap]])</f>
        <v>332.7353813233197</v>
      </c>
      <c r="AS138" s="2">
        <v>13.9982560297703</v>
      </c>
      <c r="AX138" s="4"/>
    </row>
    <row r="139" spans="1:50" x14ac:dyDescent="0.25">
      <c r="A139" t="s">
        <v>99</v>
      </c>
      <c r="B139">
        <v>1</v>
      </c>
      <c r="C139">
        <v>30</v>
      </c>
      <c r="D139">
        <v>65</v>
      </c>
      <c r="E139" s="260"/>
      <c r="F139">
        <v>163</v>
      </c>
      <c r="G139">
        <v>170</v>
      </c>
      <c r="H139">
        <v>174</v>
      </c>
      <c r="I139" s="261"/>
      <c r="J139">
        <v>135</v>
      </c>
      <c r="K139">
        <v>113</v>
      </c>
      <c r="L139">
        <v>77</v>
      </c>
      <c r="M139" s="262"/>
      <c r="Q139" s="4"/>
      <c r="U139" s="4"/>
      <c r="Y139" s="4"/>
      <c r="Z139">
        <f t="shared" si="24"/>
        <v>0</v>
      </c>
      <c r="AA139">
        <f t="shared" si="25"/>
        <v>0</v>
      </c>
      <c r="AB139">
        <f t="shared" si="26"/>
        <v>127.5</v>
      </c>
      <c r="AC139" s="26"/>
      <c r="AD139">
        <f t="shared" si="27"/>
        <v>127.5</v>
      </c>
      <c r="AE139">
        <f t="shared" si="28"/>
        <v>127.5</v>
      </c>
      <c r="AF139">
        <f t="shared" si="29"/>
        <v>127.5</v>
      </c>
      <c r="AG139" s="32"/>
      <c r="AH139">
        <f t="shared" si="21"/>
        <v>127.5</v>
      </c>
      <c r="AI139">
        <f t="shared" si="22"/>
        <v>127.5</v>
      </c>
      <c r="AJ139">
        <f t="shared" si="23"/>
        <v>127.5</v>
      </c>
      <c r="AK139" s="32"/>
      <c r="AL139">
        <f>SQRT((2+(($AL$3+Table4[[#This Row],[Red]])/2)/256)*($AL$3-Table4[[#This Row],[Red]])^2 + 4*($AM$3-Table4[[#This Row],[Green]])^2 + (2+(255-(($AL$3+Table4[[#This Row],[Red]])/2))/256 )*($AN$3-Table4[[#This Row],[Blue]])^2)</f>
        <v>542.52741506190262</v>
      </c>
      <c r="AM139">
        <f>SQRT((2+(($AO$3+Table4[[#This Row],[Red2]])/2)/256)*($AO$3-Table4[[#This Row],[Red2]])^2 + 4*($AP$3-Table4[[#This Row],[Green2]])^2 + (2+(255-(($AO$3+Table4[[#This Row],[Red2]])/2))/256 )*($AQ$3-Table4[[#This Row],[Blue2]])^2)</f>
        <v>508.20033074750648</v>
      </c>
      <c r="AN139">
        <f>SQRT(Table4[[#This Row],[diffPrimary]]^2+Table4[[#This Row],[diffSecondary]]^2)</f>
        <v>743.37310434641427</v>
      </c>
      <c r="AO139" s="2">
        <f>SQRT((2+(($AL$3+Table4[[#This Row],[Red2]])/2)/256)*($AL$3-Table4[[#This Row],[Red2]])^2 + 4*($AM$3-Table4[[#This Row],[Green2]])^2 + (2+(255-(($AL$3+Table4[[#This Row],[Red2]])/2))/256 )*($AN$3-Table4[[#This Row],[Blue2]])^2)</f>
        <v>307.78284755651993</v>
      </c>
      <c r="AP139" s="2">
        <f>SQRT((2+(($AO$3+Table4[[#This Row],[Red]])/2)/256)*($AO$3-Table4[[#This Row],[Red]])^2 + 4*($AP$3-Table4[[#This Row],[Green]])^2 + (2+(255-(($AO$3+Table4[[#This Row],[Red]])/2))/256 )*($AQ$3-Table4[[#This Row],[Blue]])^2)</f>
        <v>127.48429743992003</v>
      </c>
      <c r="AQ139" s="2">
        <f>SQRT(Table4[[#This Row],[diffPrimary2]]^2+Table4[[#This Row],[diffSecondary2]]^2)</f>
        <v>333.14040184845487</v>
      </c>
      <c r="AR139" s="786">
        <f>MIN(Table4[[#This Row],[MinOrig]],Table4[[#This Row],[MinSwap]])</f>
        <v>333.14040184845487</v>
      </c>
      <c r="AS139" s="2">
        <v>30.92543956842</v>
      </c>
      <c r="AX139" s="4"/>
    </row>
    <row r="140" spans="1:50" x14ac:dyDescent="0.25">
      <c r="A140" t="s">
        <v>322</v>
      </c>
      <c r="B140">
        <v>99</v>
      </c>
      <c r="C140">
        <v>0</v>
      </c>
      <c r="D140">
        <v>49</v>
      </c>
      <c r="E140" s="556"/>
      <c r="F140">
        <v>207</v>
      </c>
      <c r="G140">
        <v>69</v>
      </c>
      <c r="H140">
        <v>32</v>
      </c>
      <c r="I140" s="557"/>
      <c r="M140" s="4"/>
      <c r="Q140" s="4"/>
      <c r="U140" s="4"/>
      <c r="Y140" s="4"/>
      <c r="Z140">
        <f t="shared" si="24"/>
        <v>127.5</v>
      </c>
      <c r="AA140">
        <f t="shared" si="25"/>
        <v>0</v>
      </c>
      <c r="AB140">
        <f t="shared" si="26"/>
        <v>0</v>
      </c>
      <c r="AC140" s="27"/>
      <c r="AD140">
        <f t="shared" si="27"/>
        <v>255</v>
      </c>
      <c r="AE140">
        <f t="shared" si="28"/>
        <v>127.5</v>
      </c>
      <c r="AF140">
        <f t="shared" si="29"/>
        <v>0</v>
      </c>
      <c r="AG140" s="28"/>
      <c r="AH140">
        <f t="shared" si="21"/>
        <v>0</v>
      </c>
      <c r="AI140">
        <f t="shared" si="22"/>
        <v>0</v>
      </c>
      <c r="AJ140">
        <f t="shared" si="23"/>
        <v>0</v>
      </c>
      <c r="AK140" s="4"/>
      <c r="AL140">
        <f>SQRT((2+(($AL$3+Table4[[#This Row],[Red]])/2)/256)*($AL$3-Table4[[#This Row],[Red]])^2 + 4*($AM$3-Table4[[#This Row],[Green]])^2 + (2+(255-(($AL$3+Table4[[#This Row],[Red]])/2))/256 )*($AN$3-Table4[[#This Row],[Blue]])^2)</f>
        <v>489.01085589943705</v>
      </c>
      <c r="AM140">
        <f>SQRT((2+(($AO$3+Table4[[#This Row],[Red2]])/2)/256)*($AO$3-Table4[[#This Row],[Red2]])^2 + 4*($AP$3-Table4[[#This Row],[Green2]])^2 + (2+(255-(($AO$3+Table4[[#This Row],[Red2]])/2))/256 )*($AQ$3-Table4[[#This Row],[Blue2]])^2)</f>
        <v>353.15678783916218</v>
      </c>
      <c r="AN140">
        <f>SQRT(Table4[[#This Row],[diffPrimary]]^2+Table4[[#This Row],[diffSecondary]]^2)</f>
        <v>603.20090681660531</v>
      </c>
      <c r="AO140" s="2">
        <f>SQRT((2+(($AL$3+Table4[[#This Row],[Red2]])/2)/256)*($AL$3-Table4[[#This Row],[Red2]])^2 + 4*($AM$3-Table4[[#This Row],[Green2]])^2 + (2+(255-(($AL$3+Table4[[#This Row],[Red2]])/2))/256 )*($AN$3-Table4[[#This Row],[Blue2]])^2)</f>
        <v>287.77595452017874</v>
      </c>
      <c r="AP140" s="2">
        <f>SQRT((2+(($AO$3+Table4[[#This Row],[Red]])/2)/256)*($AO$3-Table4[[#This Row],[Red]])^2 + 4*($AP$3-Table4[[#This Row],[Green]])^2 + (2+(255-(($AO$3+Table4[[#This Row],[Red]])/2))/256 )*($AQ$3-Table4[[#This Row],[Blue]])^2)</f>
        <v>168.00738218527781</v>
      </c>
      <c r="AQ140" s="2">
        <f>SQRT(Table4[[#This Row],[diffPrimary2]]^2+Table4[[#This Row],[diffSecondary2]]^2)</f>
        <v>333.22887100122341</v>
      </c>
      <c r="AR140" s="786">
        <f>MIN(Table4[[#This Row],[MinOrig]],Table4[[#This Row],[MinSwap]])</f>
        <v>333.22887100122341</v>
      </c>
      <c r="AS140" s="2">
        <v>113.154260718499</v>
      </c>
      <c r="AX140" s="4"/>
    </row>
    <row r="141" spans="1:50" x14ac:dyDescent="0.25">
      <c r="A141" t="s">
        <v>52</v>
      </c>
      <c r="B141">
        <v>245</v>
      </c>
      <c r="C141">
        <v>102</v>
      </c>
      <c r="D141">
        <v>0</v>
      </c>
      <c r="E141" s="170"/>
      <c r="F141">
        <v>82</v>
      </c>
      <c r="G141">
        <v>45</v>
      </c>
      <c r="H141">
        <v>128</v>
      </c>
      <c r="I141" s="171"/>
      <c r="M141" s="4"/>
      <c r="Q141" s="4"/>
      <c r="U141" s="4"/>
      <c r="Y141" s="4"/>
      <c r="Z141">
        <f t="shared" si="24"/>
        <v>255</v>
      </c>
      <c r="AA141">
        <f t="shared" si="25"/>
        <v>127.5</v>
      </c>
      <c r="AB141">
        <f t="shared" si="26"/>
        <v>0</v>
      </c>
      <c r="AC141" s="28"/>
      <c r="AD141">
        <f t="shared" si="27"/>
        <v>127.5</v>
      </c>
      <c r="AE141">
        <f t="shared" si="28"/>
        <v>0</v>
      </c>
      <c r="AF141">
        <f t="shared" si="29"/>
        <v>127.5</v>
      </c>
      <c r="AG141" s="30"/>
      <c r="AH141">
        <f t="shared" si="21"/>
        <v>0</v>
      </c>
      <c r="AI141">
        <f t="shared" si="22"/>
        <v>0</v>
      </c>
      <c r="AJ141">
        <f t="shared" si="23"/>
        <v>0</v>
      </c>
      <c r="AK141" s="4"/>
      <c r="AL141">
        <f>SQRT((2+(($AL$3+Table4[[#This Row],[Red]])/2)/256)*($AL$3-Table4[[#This Row],[Red]])^2 + 4*($AM$3-Table4[[#This Row],[Green]])^2 + (2+(255-(($AL$3+Table4[[#This Row],[Red]])/2))/256 )*($AN$3-Table4[[#This Row],[Blue]])^2)</f>
        <v>206.72120416154701</v>
      </c>
      <c r="AM141">
        <f>SQRT((2+(($AO$3+Table4[[#This Row],[Red2]])/2)/256)*($AO$3-Table4[[#This Row],[Red2]])^2 + 4*($AP$3-Table4[[#This Row],[Green2]])^2 + (2+(255-(($AO$3+Table4[[#This Row],[Red2]])/2))/256 )*($AQ$3-Table4[[#This Row],[Blue2]])^2)</f>
        <v>262.84765668538876</v>
      </c>
      <c r="AN141">
        <f>SQRT(Table4[[#This Row],[diffPrimary]]^2+Table4[[#This Row],[diffSecondary]]^2)</f>
        <v>334.39878420084005</v>
      </c>
      <c r="AO141" s="2">
        <f>SQRT((2+(($AL$3+Table4[[#This Row],[Red2]])/2)/256)*($AL$3-Table4[[#This Row],[Red2]])^2 + 4*($AM$3-Table4[[#This Row],[Green2]])^2 + (2+(255-(($AL$3+Table4[[#This Row],[Red2]])/2))/256 )*($AN$3-Table4[[#This Row],[Blue2]])^2)</f>
        <v>469.32010539516097</v>
      </c>
      <c r="AP141" s="2">
        <f>SQRT((2+(($AO$3+Table4[[#This Row],[Red]])/2)/256)*($AO$3-Table4[[#This Row],[Red]])^2 + 4*($AP$3-Table4[[#This Row],[Green]])^2 + (2+(255-(($AO$3+Table4[[#This Row],[Red]])/2))/256 )*($AQ$3-Table4[[#This Row],[Blue]])^2)</f>
        <v>436.33576565601976</v>
      </c>
      <c r="AQ141" s="2">
        <f>SQRT(Table4[[#This Row],[diffPrimary2]]^2+Table4[[#This Row],[diffSecondary2]]^2)</f>
        <v>640.81999166595142</v>
      </c>
      <c r="AR141" s="786">
        <f>MIN(Table4[[#This Row],[MinOrig]],Table4[[#This Row],[MinSwap]])</f>
        <v>334.39878420084005</v>
      </c>
      <c r="AS141" s="2">
        <v>54.4360289697917</v>
      </c>
      <c r="AX141" s="4"/>
    </row>
    <row r="142" spans="1:50" x14ac:dyDescent="0.25">
      <c r="A142" t="s">
        <v>278</v>
      </c>
      <c r="B142">
        <v>212</v>
      </c>
      <c r="C142">
        <v>69</v>
      </c>
      <c r="D142">
        <v>0</v>
      </c>
      <c r="E142" s="522"/>
      <c r="F142">
        <v>62</v>
      </c>
      <c r="G142">
        <v>61</v>
      </c>
      <c r="H142">
        <v>60</v>
      </c>
      <c r="I142" s="523"/>
      <c r="J142">
        <v>111</v>
      </c>
      <c r="K142">
        <v>119</v>
      </c>
      <c r="L142">
        <v>125</v>
      </c>
      <c r="M142" s="524"/>
      <c r="N142">
        <v>173</v>
      </c>
      <c r="O142">
        <v>179</v>
      </c>
      <c r="P142">
        <v>184</v>
      </c>
      <c r="Q142" s="525"/>
      <c r="R142">
        <v>232</v>
      </c>
      <c r="S142">
        <v>234</v>
      </c>
      <c r="T142">
        <v>235</v>
      </c>
      <c r="U142" s="526"/>
      <c r="Y142" s="4"/>
      <c r="Z142">
        <f t="shared" si="24"/>
        <v>255</v>
      </c>
      <c r="AA142">
        <f t="shared" si="25"/>
        <v>127.5</v>
      </c>
      <c r="AB142">
        <f t="shared" si="26"/>
        <v>0</v>
      </c>
      <c r="AC142" s="28"/>
      <c r="AD142">
        <f t="shared" si="27"/>
        <v>0</v>
      </c>
      <c r="AE142">
        <f t="shared" si="28"/>
        <v>0</v>
      </c>
      <c r="AF142">
        <f t="shared" si="29"/>
        <v>0</v>
      </c>
      <c r="AG142" s="4"/>
      <c r="AH142">
        <f t="shared" si="21"/>
        <v>127.5</v>
      </c>
      <c r="AI142">
        <f t="shared" si="22"/>
        <v>127.5</v>
      </c>
      <c r="AJ142">
        <f t="shared" si="23"/>
        <v>127.5</v>
      </c>
      <c r="AK142" s="32"/>
      <c r="AL142">
        <f>SQRT((2+(($AL$3+Table4[[#This Row],[Red]])/2)/256)*($AL$3-Table4[[#This Row],[Red]])^2 + 4*($AM$3-Table4[[#This Row],[Green]])^2 + (2+(255-(($AL$3+Table4[[#This Row],[Red]])/2))/256 )*($AN$3-Table4[[#This Row],[Blue]])^2)</f>
        <v>281.72413853692944</v>
      </c>
      <c r="AM142">
        <f>SQRT((2+(($AO$3+Table4[[#This Row],[Red2]])/2)/256)*($AO$3-Table4[[#This Row],[Red2]])^2 + 4*($AP$3-Table4[[#This Row],[Green2]])^2 + (2+(255-(($AO$3+Table4[[#This Row],[Red2]])/2))/256 )*($AQ$3-Table4[[#This Row],[Blue2]])^2)</f>
        <v>182.72242439011146</v>
      </c>
      <c r="AN142">
        <f>SQRT(Table4[[#This Row],[diffPrimary]]^2+Table4[[#This Row],[diffSecondary]]^2)</f>
        <v>335.79156423200243</v>
      </c>
      <c r="AO142" s="2">
        <f>SQRT((2+(($AL$3+Table4[[#This Row],[Red2]])/2)/256)*($AL$3-Table4[[#This Row],[Red2]])^2 + 4*($AM$3-Table4[[#This Row],[Green2]])^2 + (2+(255-(($AL$3+Table4[[#This Row],[Red2]])/2))/256 )*($AN$3-Table4[[#This Row],[Blue2]])^2)</f>
        <v>434.8119138094367</v>
      </c>
      <c r="AP142" s="2">
        <f>SQRT((2+(($AO$3+Table4[[#This Row],[Red]])/2)/256)*($AO$3-Table4[[#This Row],[Red]])^2 + 4*($AP$3-Table4[[#This Row],[Green]])^2 + (2+(255-(($AO$3+Table4[[#This Row],[Red]])/2))/256 )*($AQ$3-Table4[[#This Row],[Blue]])^2)</f>
        <v>357.12970332919662</v>
      </c>
      <c r="AQ142" s="2">
        <f>SQRT(Table4[[#This Row],[diffPrimary2]]^2+Table4[[#This Row],[diffSecondary2]]^2)</f>
        <v>562.67488427210344</v>
      </c>
      <c r="AR142" s="786">
        <f>MIN(Table4[[#This Row],[MinOrig]],Table4[[#This Row],[MinSwap]])</f>
        <v>335.79156423200243</v>
      </c>
      <c r="AS142" s="2">
        <v>56.652242343088197</v>
      </c>
      <c r="AX142" s="4"/>
    </row>
    <row r="143" spans="1:50" x14ac:dyDescent="0.25">
      <c r="A143" t="s">
        <v>124</v>
      </c>
      <c r="B143">
        <v>200</v>
      </c>
      <c r="C143">
        <v>16</v>
      </c>
      <c r="D143">
        <v>46</v>
      </c>
      <c r="E143" s="97"/>
      <c r="F143">
        <v>241</v>
      </c>
      <c r="G143">
        <v>190</v>
      </c>
      <c r="H143">
        <v>72</v>
      </c>
      <c r="I143" s="300"/>
      <c r="M143" s="4"/>
      <c r="Q143" s="4"/>
      <c r="U143" s="4"/>
      <c r="Y143" s="4"/>
      <c r="Z143">
        <f t="shared" si="24"/>
        <v>255</v>
      </c>
      <c r="AA143">
        <f t="shared" si="25"/>
        <v>0</v>
      </c>
      <c r="AB143">
        <f t="shared" si="26"/>
        <v>0</v>
      </c>
      <c r="AC143" s="5"/>
      <c r="AD143">
        <f t="shared" si="27"/>
        <v>255</v>
      </c>
      <c r="AE143">
        <f t="shared" si="28"/>
        <v>127.5</v>
      </c>
      <c r="AF143">
        <f t="shared" si="29"/>
        <v>127.5</v>
      </c>
      <c r="AG143" s="25"/>
      <c r="AH143">
        <f t="shared" si="21"/>
        <v>0</v>
      </c>
      <c r="AI143">
        <f t="shared" si="22"/>
        <v>0</v>
      </c>
      <c r="AJ143">
        <f t="shared" si="23"/>
        <v>0</v>
      </c>
      <c r="AK143" s="4"/>
      <c r="AL143">
        <f>SQRT((2+(($AL$3+Table4[[#This Row],[Red]])/2)/256)*($AL$3-Table4[[#This Row],[Red]])^2 + 4*($AM$3-Table4[[#This Row],[Green]])^2 + (2+(255-(($AL$3+Table4[[#This Row],[Red]])/2))/256 )*($AN$3-Table4[[#This Row],[Blue]])^2)</f>
        <v>395.07155947926066</v>
      </c>
      <c r="AM143">
        <f>SQRT((2+(($AO$3+Table4[[#This Row],[Red2]])/2)/256)*($AO$3-Table4[[#This Row],[Red2]])^2 + 4*($AP$3-Table4[[#This Row],[Green2]])^2 + (2+(255-(($AO$3+Table4[[#This Row],[Red2]])/2))/256 )*($AQ$3-Table4[[#This Row],[Blue2]])^2)</f>
        <v>548.62786404185215</v>
      </c>
      <c r="AN143">
        <f>SQRT(Table4[[#This Row],[diffPrimary]]^2+Table4[[#This Row],[diffSecondary]]^2)</f>
        <v>676.07253332205414</v>
      </c>
      <c r="AO143" s="2">
        <f>SQRT((2+(($AL$3+Table4[[#This Row],[Red2]])/2)/256)*($AL$3-Table4[[#This Row],[Red2]])^2 + 4*($AM$3-Table4[[#This Row],[Green2]])^2 + (2+(255-(($AL$3+Table4[[#This Row],[Red2]])/2))/256 )*($AN$3-Table4[[#This Row],[Blue2]])^2)</f>
        <v>109.50627835882288</v>
      </c>
      <c r="AP143" s="2">
        <f>SQRT((2+(($AO$3+Table4[[#This Row],[Red]])/2)/256)*($AO$3-Table4[[#This Row],[Red]])^2 + 4*($AP$3-Table4[[#This Row],[Green]])^2 + (2+(255-(($AO$3+Table4[[#This Row],[Red]])/2))/256 )*($AQ$3-Table4[[#This Row],[Blue]])^2)</f>
        <v>319.62817753602388</v>
      </c>
      <c r="AQ143" s="2">
        <f>SQRT(Table4[[#This Row],[diffPrimary2]]^2+Table4[[#This Row],[diffSecondary2]]^2)</f>
        <v>337.86653707492252</v>
      </c>
      <c r="AR143" s="786">
        <f>MIN(Table4[[#This Row],[MinOrig]],Table4[[#This Row],[MinSwap]])</f>
        <v>337.86653707492252</v>
      </c>
      <c r="AS143" s="2">
        <v>46.921310456976798</v>
      </c>
      <c r="AX143" s="4"/>
    </row>
    <row r="144" spans="1:50" x14ac:dyDescent="0.25">
      <c r="A144" t="s">
        <v>181</v>
      </c>
      <c r="B144">
        <v>0</v>
      </c>
      <c r="C144">
        <v>40</v>
      </c>
      <c r="D144">
        <v>85</v>
      </c>
      <c r="E144" s="160"/>
      <c r="F144">
        <v>132</v>
      </c>
      <c r="G144">
        <v>117</v>
      </c>
      <c r="H144">
        <v>78</v>
      </c>
      <c r="I144" s="511"/>
      <c r="J144">
        <v>255</v>
      </c>
      <c r="K144">
        <v>255</v>
      </c>
      <c r="L144">
        <v>255</v>
      </c>
      <c r="M144" s="3"/>
      <c r="Q144" s="4"/>
      <c r="U144" s="4"/>
      <c r="Y144" s="4"/>
      <c r="Z144">
        <f t="shared" si="24"/>
        <v>0</v>
      </c>
      <c r="AA144">
        <f t="shared" si="25"/>
        <v>0</v>
      </c>
      <c r="AB144">
        <f t="shared" si="26"/>
        <v>127.5</v>
      </c>
      <c r="AC144" s="26"/>
      <c r="AD144">
        <f t="shared" si="27"/>
        <v>127.5</v>
      </c>
      <c r="AE144">
        <f t="shared" si="28"/>
        <v>127.5</v>
      </c>
      <c r="AF144">
        <f t="shared" si="29"/>
        <v>127.5</v>
      </c>
      <c r="AG144" s="32"/>
      <c r="AH144">
        <f t="shared" si="21"/>
        <v>255</v>
      </c>
      <c r="AI144">
        <f t="shared" si="22"/>
        <v>255</v>
      </c>
      <c r="AJ144">
        <f t="shared" si="23"/>
        <v>255</v>
      </c>
      <c r="AK144" s="3"/>
      <c r="AL144">
        <f>SQRT((2+(($AL$3+Table4[[#This Row],[Red]])/2)/256)*($AL$3-Table4[[#This Row],[Red]])^2 + 4*($AM$3-Table4[[#This Row],[Green]])^2 + (2+(255-(($AL$3+Table4[[#This Row],[Red]])/2))/256 )*($AN$3-Table4[[#This Row],[Blue]])^2)</f>
        <v>537.94412973723399</v>
      </c>
      <c r="AM144">
        <f>SQRT((2+(($AO$3+Table4[[#This Row],[Red2]])/2)/256)*($AO$3-Table4[[#This Row],[Red2]])^2 + 4*($AP$3-Table4[[#This Row],[Green2]])^2 + (2+(255-(($AO$3+Table4[[#This Row],[Red2]])/2))/256 )*($AQ$3-Table4[[#This Row],[Blue2]])^2)</f>
        <v>332.79998215895387</v>
      </c>
      <c r="AN144">
        <f>SQRT(Table4[[#This Row],[diffPrimary]]^2+Table4[[#This Row],[diffSecondary]]^2)</f>
        <v>632.56597667259189</v>
      </c>
      <c r="AO144" s="2">
        <f>SQRT((2+(($AL$3+Table4[[#This Row],[Red2]])/2)/256)*($AL$3-Table4[[#This Row],[Red2]])^2 + 4*($AM$3-Table4[[#This Row],[Green2]])^2 + (2+(255-(($AL$3+Table4[[#This Row],[Red2]])/2))/256 )*($AN$3-Table4[[#This Row],[Blue2]])^2)</f>
        <v>293.76688448815162</v>
      </c>
      <c r="AP144" s="2">
        <f>SQRT((2+(($AO$3+Table4[[#This Row],[Red]])/2)/256)*($AO$3-Table4[[#This Row],[Red]])^2 + 4*($AP$3-Table4[[#This Row],[Green]])^2 + (2+(255-(($AO$3+Table4[[#This Row],[Red]])/2))/256 )*($AQ$3-Table4[[#This Row],[Blue]])^2)</f>
        <v>167.47172102701398</v>
      </c>
      <c r="AQ144" s="2">
        <f>SQRT(Table4[[#This Row],[diffPrimary2]]^2+Table4[[#This Row],[diffSecondary2]]^2)</f>
        <v>338.15049869196559</v>
      </c>
      <c r="AR144" s="786">
        <f>MIN(Table4[[#This Row],[MinOrig]],Table4[[#This Row],[MinSwap]])</f>
        <v>338.15049869196559</v>
      </c>
      <c r="AS144" s="2">
        <v>78.140685925291194</v>
      </c>
      <c r="AX144" s="4"/>
    </row>
    <row r="145" spans="1:50" x14ac:dyDescent="0.25">
      <c r="A145" t="s">
        <v>342</v>
      </c>
      <c r="B145">
        <v>200</v>
      </c>
      <c r="C145">
        <v>16</v>
      </c>
      <c r="D145">
        <v>46</v>
      </c>
      <c r="E145" s="97"/>
      <c r="F145">
        <v>243</v>
      </c>
      <c r="G145">
        <v>213</v>
      </c>
      <c r="H145">
        <v>78</v>
      </c>
      <c r="I145" s="552"/>
      <c r="J145">
        <v>0</v>
      </c>
      <c r="K145">
        <v>0</v>
      </c>
      <c r="L145">
        <v>0</v>
      </c>
      <c r="M145" s="4"/>
      <c r="N145">
        <v>255</v>
      </c>
      <c r="O145">
        <v>255</v>
      </c>
      <c r="P145">
        <v>255</v>
      </c>
      <c r="Q145" s="3"/>
      <c r="U145" s="4"/>
      <c r="Y145" s="4"/>
      <c r="Z145">
        <f t="shared" si="24"/>
        <v>255</v>
      </c>
      <c r="AA145">
        <f t="shared" si="25"/>
        <v>0</v>
      </c>
      <c r="AB145">
        <f t="shared" si="26"/>
        <v>0</v>
      </c>
      <c r="AC145" s="5"/>
      <c r="AD145">
        <f t="shared" si="27"/>
        <v>255</v>
      </c>
      <c r="AE145">
        <f t="shared" si="28"/>
        <v>255</v>
      </c>
      <c r="AF145">
        <f t="shared" si="29"/>
        <v>127.5</v>
      </c>
      <c r="AG145" s="29"/>
      <c r="AH145">
        <f t="shared" si="21"/>
        <v>0</v>
      </c>
      <c r="AI145">
        <f t="shared" si="22"/>
        <v>0</v>
      </c>
      <c r="AJ145">
        <f t="shared" si="23"/>
        <v>0</v>
      </c>
      <c r="AK145" s="4"/>
      <c r="AL145">
        <f>SQRT((2+(($AL$3+Table4[[#This Row],[Red]])/2)/256)*($AL$3-Table4[[#This Row],[Red]])^2 + 4*($AM$3-Table4[[#This Row],[Green]])^2 + (2+(255-(($AL$3+Table4[[#This Row],[Red]])/2))/256 )*($AN$3-Table4[[#This Row],[Blue]])^2)</f>
        <v>395.07155947926066</v>
      </c>
      <c r="AM145">
        <f>SQRT((2+(($AO$3+Table4[[#This Row],[Red2]])/2)/256)*($AO$3-Table4[[#This Row],[Red2]])^2 + 4*($AP$3-Table4[[#This Row],[Green2]])^2 + (2+(255-(($AO$3+Table4[[#This Row],[Red2]])/2))/256 )*($AQ$3-Table4[[#This Row],[Blue2]])^2)</f>
        <v>585.6107238788195</v>
      </c>
      <c r="AN145">
        <f>SQRT(Table4[[#This Row],[diffPrimary]]^2+Table4[[#This Row],[diffSecondary]]^2)</f>
        <v>706.41450794222089</v>
      </c>
      <c r="AO145" s="2">
        <f>SQRT((2+(($AL$3+Table4[[#This Row],[Red2]])/2)/256)*($AL$3-Table4[[#This Row],[Red2]])^2 + 4*($AM$3-Table4[[#This Row],[Green2]])^2 + (2+(255-(($AL$3+Table4[[#This Row],[Red2]])/2))/256 )*($AN$3-Table4[[#This Row],[Blue2]])^2)</f>
        <v>113.99410620729476</v>
      </c>
      <c r="AP145" s="2">
        <f>SQRT((2+(($AO$3+Table4[[#This Row],[Red]])/2)/256)*($AO$3-Table4[[#This Row],[Red]])^2 + 4*($AP$3-Table4[[#This Row],[Green]])^2 + (2+(255-(($AO$3+Table4[[#This Row],[Red]])/2))/256 )*($AQ$3-Table4[[#This Row],[Blue]])^2)</f>
        <v>319.62817753602388</v>
      </c>
      <c r="AQ145" s="2">
        <f>SQRT(Table4[[#This Row],[diffPrimary2]]^2+Table4[[#This Row],[diffSecondary2]]^2)</f>
        <v>339.34765083170976</v>
      </c>
      <c r="AR145" s="786">
        <f>MIN(Table4[[#This Row],[MinOrig]],Table4[[#This Row],[MinSwap]])</f>
        <v>339.34765083170976</v>
      </c>
      <c r="AS145" s="2">
        <v>46.921310456976798</v>
      </c>
      <c r="AX145" s="4"/>
    </row>
    <row r="146" spans="1:50" x14ac:dyDescent="0.25">
      <c r="A146" t="s">
        <v>137</v>
      </c>
      <c r="B146">
        <v>168</v>
      </c>
      <c r="C146">
        <v>153</v>
      </c>
      <c r="D146">
        <v>110</v>
      </c>
      <c r="E146" s="159"/>
      <c r="F146">
        <v>152</v>
      </c>
      <c r="G146">
        <v>0</v>
      </c>
      <c r="H146">
        <v>46</v>
      </c>
      <c r="I146" s="22"/>
      <c r="J146">
        <v>255</v>
      </c>
      <c r="K146">
        <v>255</v>
      </c>
      <c r="L146">
        <v>255</v>
      </c>
      <c r="M146" s="3"/>
      <c r="N146">
        <v>0</v>
      </c>
      <c r="O146">
        <v>0</v>
      </c>
      <c r="P146">
        <v>0</v>
      </c>
      <c r="Q146" s="4"/>
      <c r="U146" s="4"/>
      <c r="Y146" s="4"/>
      <c r="Z146">
        <f t="shared" si="24"/>
        <v>127.5</v>
      </c>
      <c r="AA146">
        <f t="shared" si="25"/>
        <v>127.5</v>
      </c>
      <c r="AB146">
        <f t="shared" si="26"/>
        <v>127.5</v>
      </c>
      <c r="AC146" s="32"/>
      <c r="AD146">
        <f t="shared" si="27"/>
        <v>127.5</v>
      </c>
      <c r="AE146">
        <f t="shared" si="28"/>
        <v>0</v>
      </c>
      <c r="AF146">
        <f t="shared" si="29"/>
        <v>0</v>
      </c>
      <c r="AG146" s="27"/>
      <c r="AH146">
        <f t="shared" si="21"/>
        <v>255</v>
      </c>
      <c r="AI146">
        <f t="shared" si="22"/>
        <v>255</v>
      </c>
      <c r="AJ146">
        <f t="shared" si="23"/>
        <v>255</v>
      </c>
      <c r="AK146" s="3"/>
      <c r="AL146">
        <f>SQRT((2+(($AL$3+Table4[[#This Row],[Red]])/2)/256)*($AL$3-Table4[[#This Row],[Red]])^2 + 4*($AM$3-Table4[[#This Row],[Green]])^2 + (2+(255-(($AL$3+Table4[[#This Row],[Red]])/2))/256 )*($AN$3-Table4[[#This Row],[Blue]])^2)</f>
        <v>241.79195522054698</v>
      </c>
      <c r="AM146">
        <f>SQRT((2+(($AO$3+Table4[[#This Row],[Red2]])/2)/256)*($AO$3-Table4[[#This Row],[Red2]])^2 + 4*($AP$3-Table4[[#This Row],[Green2]])^2 + (2+(255-(($AO$3+Table4[[#This Row],[Red2]])/2))/256 )*($AQ$3-Table4[[#This Row],[Blue2]])^2)</f>
        <v>242.44287342588564</v>
      </c>
      <c r="AN146">
        <f>SQRT(Table4[[#This Row],[diffPrimary]]^2+Table4[[#This Row],[diffSecondary]]^2)</f>
        <v>342.4060403736695</v>
      </c>
      <c r="AO146" s="2">
        <f>SQRT((2+(($AL$3+Table4[[#This Row],[Red2]])/2)/256)*($AL$3-Table4[[#This Row],[Red2]])^2 + 4*($AM$3-Table4[[#This Row],[Green2]])^2 + (2+(255-(($AL$3+Table4[[#This Row],[Red2]])/2))/256 )*($AN$3-Table4[[#This Row],[Blue2]])^2)</f>
        <v>449.89888403881935</v>
      </c>
      <c r="AP146" s="2">
        <f>SQRT((2+(($AO$3+Table4[[#This Row],[Red]])/2)/256)*($AO$3-Table4[[#This Row],[Red]])^2 + 4*($AP$3-Table4[[#This Row],[Green]])^2 + (2+(255-(($AO$3+Table4[[#This Row],[Red]])/2))/256 )*($AQ$3-Table4[[#This Row],[Blue]])^2)</f>
        <v>437.75269488033996</v>
      </c>
      <c r="AQ146" s="2">
        <f>SQRT(Table4[[#This Row],[diffPrimary2]]^2+Table4[[#This Row],[diffSecondary2]]^2)</f>
        <v>627.7232094915521</v>
      </c>
      <c r="AR146" s="786">
        <f>MIN(Table4[[#This Row],[MinOrig]],Table4[[#This Row],[MinSwap]])</f>
        <v>342.4060403736695</v>
      </c>
      <c r="AS146" s="2">
        <v>61.055910596354202</v>
      </c>
      <c r="AX146" s="4"/>
    </row>
    <row r="147" spans="1:50" x14ac:dyDescent="0.25">
      <c r="A147" t="s">
        <v>249</v>
      </c>
      <c r="B147">
        <v>0</v>
      </c>
      <c r="C147">
        <v>85</v>
      </c>
      <c r="D147">
        <v>162</v>
      </c>
      <c r="E147" s="478"/>
      <c r="F147">
        <v>229</v>
      </c>
      <c r="G147">
        <v>168</v>
      </c>
      <c r="H147">
        <v>35</v>
      </c>
      <c r="I147" s="479"/>
      <c r="J147">
        <v>147</v>
      </c>
      <c r="K147">
        <v>149</v>
      </c>
      <c r="L147">
        <v>151</v>
      </c>
      <c r="M147" s="480"/>
      <c r="Q147" s="4"/>
      <c r="U147" s="4"/>
      <c r="Y147" s="4"/>
      <c r="Z147">
        <f t="shared" si="24"/>
        <v>0</v>
      </c>
      <c r="AA147">
        <f t="shared" si="25"/>
        <v>127.5</v>
      </c>
      <c r="AB147">
        <f t="shared" si="26"/>
        <v>127.5</v>
      </c>
      <c r="AC147" s="24"/>
      <c r="AD147">
        <f t="shared" si="27"/>
        <v>255</v>
      </c>
      <c r="AE147">
        <f t="shared" si="28"/>
        <v>127.5</v>
      </c>
      <c r="AF147">
        <f t="shared" si="29"/>
        <v>0</v>
      </c>
      <c r="AG147" s="28"/>
      <c r="AH147">
        <f t="shared" si="21"/>
        <v>127.5</v>
      </c>
      <c r="AI147">
        <f t="shared" si="22"/>
        <v>127.5</v>
      </c>
      <c r="AJ147">
        <f t="shared" si="23"/>
        <v>127.5</v>
      </c>
      <c r="AK147" s="32"/>
      <c r="AL147">
        <f>SQRT((2+(($AL$3+Table4[[#This Row],[Red]])/2)/256)*($AL$3-Table4[[#This Row],[Red]])^2 + 4*($AM$3-Table4[[#This Row],[Green]])^2 + (2+(255-(($AL$3+Table4[[#This Row],[Red]])/2))/256 )*($AN$3-Table4[[#This Row],[Blue]])^2)</f>
        <v>534.41017976304965</v>
      </c>
      <c r="AM147">
        <f>SQRT((2+(($AO$3+Table4[[#This Row],[Red2]])/2)/256)*($AO$3-Table4[[#This Row],[Red2]])^2 + 4*($AP$3-Table4[[#This Row],[Green2]])^2 + (2+(255-(($AO$3+Table4[[#This Row],[Red2]])/2))/256 )*($AQ$3-Table4[[#This Row],[Blue2]])^2)</f>
        <v>494.32314440429553</v>
      </c>
      <c r="AN147">
        <f>SQRT(Table4[[#This Row],[diffPrimary]]^2+Table4[[#This Row],[diffSecondary]]^2)</f>
        <v>727.97638102353642</v>
      </c>
      <c r="AO147" s="2">
        <f>SQRT((2+(($AL$3+Table4[[#This Row],[Red2]])/2)/256)*($AL$3-Table4[[#This Row],[Red2]])^2 + 4*($AM$3-Table4[[#This Row],[Green2]])^2 + (2+(255-(($AL$3+Table4[[#This Row],[Red2]])/2))/256 )*($AN$3-Table4[[#This Row],[Blue2]])^2)</f>
        <v>99.896137469123403</v>
      </c>
      <c r="AP147" s="2">
        <f>SQRT((2+(($AO$3+Table4[[#This Row],[Red]])/2)/256)*($AO$3-Table4[[#This Row],[Red]])^2 + 4*($AP$3-Table4[[#This Row],[Green]])^2 + (2+(255-(($AO$3+Table4[[#This Row],[Red]])/2))/256 )*($AQ$3-Table4[[#This Row],[Blue]])^2)</f>
        <v>327.91688638281499</v>
      </c>
      <c r="AQ147" s="2">
        <f>SQRT(Table4[[#This Row],[diffPrimary2]]^2+Table4[[#This Row],[diffSecondary2]]^2)</f>
        <v>342.79545308572864</v>
      </c>
      <c r="AR147" s="786">
        <f>MIN(Table4[[#This Row],[MinOrig]],Table4[[#This Row],[MinSwap]])</f>
        <v>342.79545308572864</v>
      </c>
      <c r="AS147" s="2">
        <v>88.310553764824704</v>
      </c>
      <c r="AX147" s="4"/>
    </row>
    <row r="148" spans="1:50" x14ac:dyDescent="0.25">
      <c r="A148" t="s">
        <v>108</v>
      </c>
      <c r="B148">
        <v>2</v>
      </c>
      <c r="C148">
        <v>71</v>
      </c>
      <c r="D148">
        <v>49</v>
      </c>
      <c r="E148" s="276"/>
      <c r="F148">
        <v>200</v>
      </c>
      <c r="G148">
        <v>200</v>
      </c>
      <c r="H148">
        <v>200</v>
      </c>
      <c r="I148" s="201"/>
      <c r="J148">
        <v>0</v>
      </c>
      <c r="K148">
        <v>0</v>
      </c>
      <c r="L148">
        <v>0</v>
      </c>
      <c r="M148" s="4"/>
      <c r="Q148" s="4"/>
      <c r="U148" s="4"/>
      <c r="Y148" s="4"/>
      <c r="Z148">
        <f t="shared" si="24"/>
        <v>0</v>
      </c>
      <c r="AA148">
        <f t="shared" si="25"/>
        <v>127.5</v>
      </c>
      <c r="AB148">
        <f t="shared" si="26"/>
        <v>0</v>
      </c>
      <c r="AC148" s="34"/>
      <c r="AD148">
        <f t="shared" si="27"/>
        <v>255</v>
      </c>
      <c r="AE148">
        <f t="shared" si="28"/>
        <v>255</v>
      </c>
      <c r="AF148">
        <f t="shared" si="29"/>
        <v>255</v>
      </c>
      <c r="AG148" s="3"/>
      <c r="AH148">
        <f t="shared" si="21"/>
        <v>0</v>
      </c>
      <c r="AI148">
        <f t="shared" si="22"/>
        <v>0</v>
      </c>
      <c r="AJ148">
        <f t="shared" si="23"/>
        <v>0</v>
      </c>
      <c r="AK148" s="4"/>
      <c r="AL148">
        <f>SQRT((2+(($AL$3+Table4[[#This Row],[Red]])/2)/256)*($AL$3-Table4[[#This Row],[Red]])^2 + 4*($AM$3-Table4[[#This Row],[Green]])^2 + (2+(255-(($AL$3+Table4[[#This Row],[Red]])/2))/256 )*($AN$3-Table4[[#This Row],[Blue]])^2)</f>
        <v>487.81138693018431</v>
      </c>
      <c r="AM148">
        <f>SQRT((2+(($AO$3+Table4[[#This Row],[Red2]])/2)/256)*($AO$3-Table4[[#This Row],[Red2]])^2 + 4*($AP$3-Table4[[#This Row],[Green2]])^2 + (2+(255-(($AO$3+Table4[[#This Row],[Red2]])/2))/256 )*($AQ$3-Table4[[#This Row],[Blue2]])^2)</f>
        <v>599.86977753509132</v>
      </c>
      <c r="AN148">
        <f>SQRT(Table4[[#This Row],[diffPrimary]]^2+Table4[[#This Row],[diffSecondary]]^2)</f>
        <v>773.17766342461675</v>
      </c>
      <c r="AO148" s="2">
        <f>SQRT((2+(($AL$3+Table4[[#This Row],[Red2]])/2)/256)*($AL$3-Table4[[#This Row],[Red2]])^2 + 4*($AM$3-Table4[[#This Row],[Green2]])^2 + (2+(255-(($AL$3+Table4[[#This Row],[Red2]])/2))/256 )*($AN$3-Table4[[#This Row],[Blue2]])^2)</f>
        <v>305.18045058927839</v>
      </c>
      <c r="AP148" s="2">
        <f>SQRT((2+(($AO$3+Table4[[#This Row],[Red]])/2)/256)*($AO$3-Table4[[#This Row],[Red]])^2 + 4*($AP$3-Table4[[#This Row],[Green]])^2 + (2+(255-(($AO$3+Table4[[#This Row],[Red]])/2))/256 )*($AQ$3-Table4[[#This Row],[Blue]])^2)</f>
        <v>165.39727268761115</v>
      </c>
      <c r="AQ148" s="2">
        <f>SQRT(Table4[[#This Row],[diffPrimary2]]^2+Table4[[#This Row],[diffSecondary2]]^2)</f>
        <v>347.118661604897</v>
      </c>
      <c r="AR148" s="786">
        <f>MIN(Table4[[#This Row],[MinOrig]],Table4[[#This Row],[MinSwap]])</f>
        <v>347.118661604897</v>
      </c>
      <c r="AS148" s="2">
        <v>42.674503878194102</v>
      </c>
      <c r="AX148" s="4"/>
    </row>
    <row r="149" spans="1:50" x14ac:dyDescent="0.25">
      <c r="A149" t="s">
        <v>317</v>
      </c>
      <c r="B149">
        <v>21</v>
      </c>
      <c r="C149">
        <v>71</v>
      </c>
      <c r="D149">
        <v>52</v>
      </c>
      <c r="E149" s="446"/>
      <c r="F149">
        <v>139</v>
      </c>
      <c r="G149">
        <v>91</v>
      </c>
      <c r="H149">
        <v>41</v>
      </c>
      <c r="I149" s="635"/>
      <c r="J149">
        <v>255</v>
      </c>
      <c r="K149">
        <v>199</v>
      </c>
      <c r="L149">
        <v>44</v>
      </c>
      <c r="M149" s="68"/>
      <c r="N149">
        <v>198</v>
      </c>
      <c r="O149">
        <v>170</v>
      </c>
      <c r="P149">
        <v>118</v>
      </c>
      <c r="Q149" s="636"/>
      <c r="R149">
        <v>255</v>
      </c>
      <c r="S149">
        <v>106</v>
      </c>
      <c r="T149">
        <v>19</v>
      </c>
      <c r="U149" s="637"/>
      <c r="V149">
        <v>0</v>
      </c>
      <c r="W149">
        <v>0</v>
      </c>
      <c r="X149">
        <v>0</v>
      </c>
      <c r="Y149" s="4"/>
      <c r="Z149">
        <f t="shared" si="24"/>
        <v>0</v>
      </c>
      <c r="AA149">
        <f t="shared" si="25"/>
        <v>127.5</v>
      </c>
      <c r="AB149">
        <f t="shared" si="26"/>
        <v>0</v>
      </c>
      <c r="AC149" s="34"/>
      <c r="AD149">
        <f t="shared" si="27"/>
        <v>127.5</v>
      </c>
      <c r="AE149">
        <f t="shared" si="28"/>
        <v>127.5</v>
      </c>
      <c r="AF149">
        <f t="shared" si="29"/>
        <v>0</v>
      </c>
      <c r="AG149" s="33"/>
      <c r="AH149">
        <f t="shared" si="21"/>
        <v>255</v>
      </c>
      <c r="AI149">
        <f t="shared" si="22"/>
        <v>255</v>
      </c>
      <c r="AJ149">
        <f t="shared" si="23"/>
        <v>0</v>
      </c>
      <c r="AK149" s="9"/>
      <c r="AL149">
        <f>SQRT((2+(($AL$3+Table4[[#This Row],[Red]])/2)/256)*($AL$3-Table4[[#This Row],[Red]])^2 + 4*($AM$3-Table4[[#This Row],[Green]])^2 + (2+(255-(($AL$3+Table4[[#This Row],[Red]])/2))/256 )*($AN$3-Table4[[#This Row],[Blue]])^2)</f>
        <v>466.36543477191788</v>
      </c>
      <c r="AM149">
        <f>SQRT((2+(($AO$3+Table4[[#This Row],[Red2]])/2)/256)*($AO$3-Table4[[#This Row],[Red2]])^2 + 4*($AP$3-Table4[[#This Row],[Green2]])^2 + (2+(255-(($AO$3+Table4[[#This Row],[Red2]])/2))/256 )*($AQ$3-Table4[[#This Row],[Blue2]])^2)</f>
        <v>285.64211518743173</v>
      </c>
      <c r="AN149">
        <f>SQRT(Table4[[#This Row],[diffPrimary]]^2+Table4[[#This Row],[diffSecondary]]^2)</f>
        <v>546.88951052177811</v>
      </c>
      <c r="AO149" s="2">
        <f>SQRT((2+(($AL$3+Table4[[#This Row],[Red2]])/2)/256)*($AL$3-Table4[[#This Row],[Red2]])^2 + 4*($AM$3-Table4[[#This Row],[Green2]])^2 + (2+(255-(($AL$3+Table4[[#This Row],[Red2]])/2))/256 )*($AN$3-Table4[[#This Row],[Blue2]])^2)</f>
        <v>304.94862528383368</v>
      </c>
      <c r="AP149" s="2">
        <f>SQRT((2+(($AO$3+Table4[[#This Row],[Red]])/2)/256)*($AO$3-Table4[[#This Row],[Red]])^2 + 4*($AP$3-Table4[[#This Row],[Green]])^2 + (2+(255-(($AO$3+Table4[[#This Row],[Red]])/2))/256 )*($AQ$3-Table4[[#This Row],[Blue]])^2)</f>
        <v>170.45415553932676</v>
      </c>
      <c r="AQ149" s="2">
        <f>SQRT(Table4[[#This Row],[diffPrimary2]]^2+Table4[[#This Row],[diffSecondary2]]^2)</f>
        <v>349.35409429849966</v>
      </c>
      <c r="AR149" s="786">
        <f>MIN(Table4[[#This Row],[MinOrig]],Table4[[#This Row],[MinSwap]])</f>
        <v>349.35409429849966</v>
      </c>
      <c r="AS149" s="2">
        <v>119.025830967484</v>
      </c>
      <c r="AX149" s="4"/>
    </row>
    <row r="150" spans="1:50" x14ac:dyDescent="0.25">
      <c r="A150" t="s">
        <v>323</v>
      </c>
      <c r="B150">
        <v>0</v>
      </c>
      <c r="C150">
        <v>72</v>
      </c>
      <c r="D150">
        <v>58</v>
      </c>
      <c r="E150" s="558"/>
      <c r="F150">
        <v>185</v>
      </c>
      <c r="G150">
        <v>187</v>
      </c>
      <c r="H150">
        <v>189</v>
      </c>
      <c r="I150" s="559"/>
      <c r="J150">
        <v>255</v>
      </c>
      <c r="K150">
        <v>255</v>
      </c>
      <c r="L150">
        <v>255</v>
      </c>
      <c r="M150" s="3"/>
      <c r="Q150" s="4"/>
      <c r="U150" s="4"/>
      <c r="Y150" s="4"/>
      <c r="Z150">
        <f t="shared" si="24"/>
        <v>0</v>
      </c>
      <c r="AA150">
        <f t="shared" si="25"/>
        <v>127.5</v>
      </c>
      <c r="AB150">
        <f t="shared" si="26"/>
        <v>0</v>
      </c>
      <c r="AC150" s="34"/>
      <c r="AD150">
        <f t="shared" si="27"/>
        <v>127.5</v>
      </c>
      <c r="AE150">
        <f t="shared" si="28"/>
        <v>127.5</v>
      </c>
      <c r="AF150">
        <f t="shared" si="29"/>
        <v>127.5</v>
      </c>
      <c r="AG150" s="32"/>
      <c r="AH150">
        <f t="shared" si="21"/>
        <v>255</v>
      </c>
      <c r="AI150">
        <f t="shared" si="22"/>
        <v>255</v>
      </c>
      <c r="AJ150">
        <f t="shared" si="23"/>
        <v>255</v>
      </c>
      <c r="AK150" s="3"/>
      <c r="AL150">
        <f>SQRT((2+(($AL$3+Table4[[#This Row],[Red]])/2)/256)*($AL$3-Table4[[#This Row],[Red]])^2 + 4*($AM$3-Table4[[#This Row],[Green]])^2 + (2+(255-(($AL$3+Table4[[#This Row],[Red]])/2))/256 )*($AN$3-Table4[[#This Row],[Blue]])^2)</f>
        <v>491.52306938166697</v>
      </c>
      <c r="AM150">
        <f>SQRT((2+(($AO$3+Table4[[#This Row],[Red2]])/2)/256)*($AO$3-Table4[[#This Row],[Red2]])^2 + 4*($AP$3-Table4[[#This Row],[Green2]])^2 + (2+(255-(($AO$3+Table4[[#This Row],[Red2]])/2))/256 )*($AQ$3-Table4[[#This Row],[Blue2]])^2)</f>
        <v>561.07835278929622</v>
      </c>
      <c r="AN150">
        <f>SQRT(Table4[[#This Row],[diffPrimary]]^2+Table4[[#This Row],[diffSecondary]]^2)</f>
        <v>745.92482577209148</v>
      </c>
      <c r="AO150" s="2">
        <f>SQRT((2+(($AL$3+Table4[[#This Row],[Red2]])/2)/256)*($AL$3-Table4[[#This Row],[Red2]])^2 + 4*($AM$3-Table4[[#This Row],[Green2]])^2 + (2+(255-(($AL$3+Table4[[#This Row],[Red2]])/2))/256 )*($AN$3-Table4[[#This Row],[Blue2]])^2)</f>
        <v>302.70888320092291</v>
      </c>
      <c r="AP150" s="2">
        <f>SQRT((2+(($AO$3+Table4[[#This Row],[Red]])/2)/256)*($AO$3-Table4[[#This Row],[Red]])^2 + 4*($AP$3-Table4[[#This Row],[Green]])^2 + (2+(255-(($AO$3+Table4[[#This Row],[Red]])/2))/256 )*($AQ$3-Table4[[#This Row],[Blue]])^2)</f>
        <v>175.54161721654498</v>
      </c>
      <c r="AQ150" s="2">
        <f>SQRT(Table4[[#This Row],[diffPrimary2]]^2+Table4[[#This Row],[diffSecondary2]]^2)</f>
        <v>349.92503103343432</v>
      </c>
      <c r="AR150" s="786">
        <f>MIN(Table4[[#This Row],[MinOrig]],Table4[[#This Row],[MinSwap]])</f>
        <v>349.92503103343432</v>
      </c>
      <c r="AS150" s="2">
        <v>42.674503878194102</v>
      </c>
      <c r="AX150" s="4"/>
    </row>
    <row r="151" spans="1:50" x14ac:dyDescent="0.25">
      <c r="A151" t="s">
        <v>329</v>
      </c>
      <c r="B151">
        <v>89</v>
      </c>
      <c r="C151">
        <v>44</v>
      </c>
      <c r="D151">
        <v>136</v>
      </c>
      <c r="E151" s="567"/>
      <c r="F151">
        <v>193</v>
      </c>
      <c r="G151">
        <v>168</v>
      </c>
      <c r="H151">
        <v>117</v>
      </c>
      <c r="I151" s="568"/>
      <c r="M151" s="4"/>
      <c r="Q151" s="4"/>
      <c r="U151" s="4"/>
      <c r="Y151" s="4"/>
      <c r="Z151">
        <f t="shared" si="24"/>
        <v>127.5</v>
      </c>
      <c r="AA151">
        <f t="shared" si="25"/>
        <v>0</v>
      </c>
      <c r="AB151">
        <f t="shared" si="26"/>
        <v>127.5</v>
      </c>
      <c r="AC151" s="30"/>
      <c r="AD151">
        <f t="shared" si="27"/>
        <v>255</v>
      </c>
      <c r="AE151">
        <f t="shared" si="28"/>
        <v>127.5</v>
      </c>
      <c r="AF151">
        <f t="shared" si="29"/>
        <v>127.5</v>
      </c>
      <c r="AG151" s="25"/>
      <c r="AH151">
        <f t="shared" si="21"/>
        <v>0</v>
      </c>
      <c r="AI151">
        <f t="shared" si="22"/>
        <v>0</v>
      </c>
      <c r="AJ151">
        <f t="shared" si="23"/>
        <v>0</v>
      </c>
      <c r="AK151" s="4"/>
      <c r="AL151">
        <f>SQRT((2+(($AL$3+Table4[[#This Row],[Red]])/2)/256)*($AL$3-Table4[[#This Row],[Red]])^2 + 4*($AM$3-Table4[[#This Row],[Green]])^2 + (2+(255-(($AL$3+Table4[[#This Row],[Red]])/2))/256 )*($AN$3-Table4[[#This Row],[Blue]])^2)</f>
        <v>469.36013624934105</v>
      </c>
      <c r="AM151">
        <f>SQRT((2+(($AO$3+Table4[[#This Row],[Red2]])/2)/256)*($AO$3-Table4[[#This Row],[Red2]])^2 + 4*($AP$3-Table4[[#This Row],[Green2]])^2 + (2+(255-(($AO$3+Table4[[#This Row],[Red2]])/2))/256 )*($AQ$3-Table4[[#This Row],[Blue2]])^2)</f>
        <v>487.12271859229685</v>
      </c>
      <c r="AN151">
        <f>SQRT(Table4[[#This Row],[diffPrimary]]^2+Table4[[#This Row],[diffSecondary]]^2)</f>
        <v>676.45212725569127</v>
      </c>
      <c r="AO151" s="2">
        <f>SQRT((2+(($AL$3+Table4[[#This Row],[Red2]])/2)/256)*($AL$3-Table4[[#This Row],[Red2]])^2 + 4*($AM$3-Table4[[#This Row],[Green2]])^2 + (2+(255-(($AL$3+Table4[[#This Row],[Red2]])/2))/256 )*($AN$3-Table4[[#This Row],[Blue2]])^2)</f>
        <v>213.45527012409414</v>
      </c>
      <c r="AP151" s="2">
        <f>SQRT((2+(($AO$3+Table4[[#This Row],[Red]])/2)/256)*($AO$3-Table4[[#This Row],[Red]])^2 + 4*($AP$3-Table4[[#This Row],[Green]])^2 + (2+(255-(($AO$3+Table4[[#This Row],[Red]])/2))/256 )*($AQ$3-Table4[[#This Row],[Blue]])^2)</f>
        <v>277.78322047619253</v>
      </c>
      <c r="AQ151" s="2">
        <f>SQRT(Table4[[#This Row],[diffPrimary2]]^2+Table4[[#This Row],[diffSecondary2]]^2)</f>
        <v>350.32366451879182</v>
      </c>
      <c r="AR151" s="786">
        <f>MIN(Table4[[#This Row],[MinOrig]],Table4[[#This Row],[MinSwap]])</f>
        <v>350.32366451879182</v>
      </c>
      <c r="AS151" s="2">
        <v>93.478147513202302</v>
      </c>
      <c r="AX151" s="4"/>
    </row>
    <row r="152" spans="1:50" x14ac:dyDescent="0.25">
      <c r="A152" t="s">
        <v>235</v>
      </c>
      <c r="B152">
        <v>0</v>
      </c>
      <c r="C152">
        <v>32</v>
      </c>
      <c r="D152">
        <v>91</v>
      </c>
      <c r="E152" s="98"/>
      <c r="F152">
        <v>193</v>
      </c>
      <c r="G152">
        <v>198</v>
      </c>
      <c r="H152">
        <v>200</v>
      </c>
      <c r="I152" s="268"/>
      <c r="M152" s="4"/>
      <c r="Q152" s="4"/>
      <c r="U152" s="4"/>
      <c r="Y152" s="4"/>
      <c r="Z152">
        <f t="shared" si="24"/>
        <v>0</v>
      </c>
      <c r="AA152">
        <f t="shared" si="25"/>
        <v>0</v>
      </c>
      <c r="AB152">
        <f t="shared" si="26"/>
        <v>127.5</v>
      </c>
      <c r="AC152" s="26"/>
      <c r="AD152">
        <f t="shared" si="27"/>
        <v>255</v>
      </c>
      <c r="AE152">
        <f t="shared" si="28"/>
        <v>255</v>
      </c>
      <c r="AF152">
        <f t="shared" si="29"/>
        <v>255</v>
      </c>
      <c r="AG152" s="3"/>
      <c r="AH152">
        <f t="shared" si="21"/>
        <v>0</v>
      </c>
      <c r="AI152">
        <f t="shared" si="22"/>
        <v>0</v>
      </c>
      <c r="AJ152">
        <f t="shared" si="23"/>
        <v>0</v>
      </c>
      <c r="AK152" s="4"/>
      <c r="AL152">
        <f>SQRT((2+(($AL$3+Table4[[#This Row],[Red]])/2)/256)*($AL$3-Table4[[#This Row],[Red]])^2 + 4*($AM$3-Table4[[#This Row],[Green]])^2 + (2+(255-(($AL$3+Table4[[#This Row],[Red]])/2))/256 )*($AN$3-Table4[[#This Row],[Blue]])^2)</f>
        <v>550.3070272300273</v>
      </c>
      <c r="AM152">
        <f>SQRT((2+(($AO$3+Table4[[#This Row],[Red2]])/2)/256)*($AO$3-Table4[[#This Row],[Red2]])^2 + 4*($AP$3-Table4[[#This Row],[Green2]])^2 + (2+(255-(($AO$3+Table4[[#This Row],[Red2]])/2))/256 )*($AQ$3-Table4[[#This Row],[Blue2]])^2)</f>
        <v>591.71002353612789</v>
      </c>
      <c r="AN152">
        <f>SQRT(Table4[[#This Row],[diffPrimary]]^2+Table4[[#This Row],[diffSecondary]]^2)</f>
        <v>808.05852273945789</v>
      </c>
      <c r="AO152" s="2">
        <f>SQRT((2+(($AL$3+Table4[[#This Row],[Red2]])/2)/256)*($AL$3-Table4[[#This Row],[Red2]])^2 + 4*($AM$3-Table4[[#This Row],[Green2]])^2 + (2+(255-(($AL$3+Table4[[#This Row],[Red2]])/2))/256 )*($AN$3-Table4[[#This Row],[Blue2]])^2)</f>
        <v>309.98588677551112</v>
      </c>
      <c r="AP152" s="2">
        <f>SQRT((2+(($AO$3+Table4[[#This Row],[Red]])/2)/256)*($AO$3-Table4[[#This Row],[Red]])^2 + 4*($AP$3-Table4[[#This Row],[Green]])^2 + (2+(255-(($AO$3+Table4[[#This Row],[Red]])/2))/256 )*($AQ$3-Table4[[#This Row],[Blue]])^2)</f>
        <v>170.01956459110815</v>
      </c>
      <c r="AQ152" s="2">
        <f>SQRT(Table4[[#This Row],[diffPrimary2]]^2+Table4[[#This Row],[diffSecondary2]]^2)</f>
        <v>353.55042404691017</v>
      </c>
      <c r="AR152" s="786">
        <f>MIN(Table4[[#This Row],[MinOrig]],Table4[[#This Row],[MinSwap]])</f>
        <v>353.55042404691017</v>
      </c>
      <c r="AS152" s="2">
        <v>42.9737837960541</v>
      </c>
      <c r="AX152" s="4"/>
    </row>
    <row r="153" spans="1:50" x14ac:dyDescent="0.25">
      <c r="A153" t="s">
        <v>106</v>
      </c>
      <c r="B153">
        <v>192</v>
      </c>
      <c r="C153">
        <v>36</v>
      </c>
      <c r="D153">
        <v>39</v>
      </c>
      <c r="E153" s="272"/>
      <c r="F153">
        <v>0</v>
      </c>
      <c r="G153">
        <v>0</v>
      </c>
      <c r="H153">
        <v>0</v>
      </c>
      <c r="I153" s="4"/>
      <c r="J153">
        <v>255</v>
      </c>
      <c r="K153">
        <v>255</v>
      </c>
      <c r="L153">
        <v>255</v>
      </c>
      <c r="M153" s="3"/>
      <c r="Q153" s="4"/>
      <c r="U153" s="4"/>
      <c r="Y153" s="4"/>
      <c r="Z153">
        <f t="shared" si="24"/>
        <v>255</v>
      </c>
      <c r="AA153">
        <f t="shared" si="25"/>
        <v>0</v>
      </c>
      <c r="AB153">
        <f t="shared" si="26"/>
        <v>0</v>
      </c>
      <c r="AC153" s="5"/>
      <c r="AD153">
        <f t="shared" si="27"/>
        <v>0</v>
      </c>
      <c r="AE153">
        <f t="shared" si="28"/>
        <v>0</v>
      </c>
      <c r="AF153">
        <f t="shared" si="29"/>
        <v>0</v>
      </c>
      <c r="AG153" s="4"/>
      <c r="AH153">
        <f t="shared" si="21"/>
        <v>255</v>
      </c>
      <c r="AI153">
        <f t="shared" si="22"/>
        <v>255</v>
      </c>
      <c r="AJ153">
        <f t="shared" si="23"/>
        <v>255</v>
      </c>
      <c r="AK153" s="3"/>
      <c r="AL153">
        <f>SQRT((2+(($AL$3+Table4[[#This Row],[Red]])/2)/256)*($AL$3-Table4[[#This Row],[Red]])^2 + 4*($AM$3-Table4[[#This Row],[Green]])^2 + (2+(255-(($AL$3+Table4[[#This Row],[Red]])/2))/256 )*($AN$3-Table4[[#This Row],[Blue]])^2)</f>
        <v>358.99342242407448</v>
      </c>
      <c r="AM153">
        <f>SQRT((2+(($AO$3+Table4[[#This Row],[Red2]])/2)/256)*($AO$3-Table4[[#This Row],[Red2]])^2 + 4*($AP$3-Table4[[#This Row],[Green2]])^2 + (2+(255-(($AO$3+Table4[[#This Row],[Red2]])/2))/256 )*($AQ$3-Table4[[#This Row],[Blue2]])^2)</f>
        <v>0</v>
      </c>
      <c r="AN153">
        <f>SQRT(Table4[[#This Row],[diffPrimary]]^2+Table4[[#This Row],[diffSecondary]]^2)</f>
        <v>358.99342242407448</v>
      </c>
      <c r="AO153" s="2">
        <f>SQRT((2+(($AL$3+Table4[[#This Row],[Red2]])/2)/256)*($AL$3-Table4[[#This Row],[Red2]])^2 + 4*($AM$3-Table4[[#This Row],[Green2]])^2 + (2+(255-(($AL$3+Table4[[#This Row],[Red2]])/2))/256 )*($AN$3-Table4[[#This Row],[Blue2]])^2)</f>
        <v>574.92216694686158</v>
      </c>
      <c r="AP153" s="2">
        <f>SQRT((2+(($AO$3+Table4[[#This Row],[Red]])/2)/256)*($AO$3-Table4[[#This Row],[Red]])^2 + 4*($AP$3-Table4[[#This Row],[Green]])^2 + (2+(255-(($AO$3+Table4[[#This Row],[Red]])/2))/256 )*($AQ$3-Table4[[#This Row],[Blue]])^2)</f>
        <v>311.00270673058458</v>
      </c>
      <c r="AQ153" s="2">
        <f>SQRT(Table4[[#This Row],[diffPrimary2]]^2+Table4[[#This Row],[diffSecondary2]]^2)</f>
        <v>653.64989225167403</v>
      </c>
      <c r="AR153" s="786">
        <f>MIN(Table4[[#This Row],[MinOrig]],Table4[[#This Row],[MinSwap]])</f>
        <v>358.99342242407448</v>
      </c>
      <c r="AS153" s="2">
        <v>32.818868429609203</v>
      </c>
      <c r="AX153" s="4"/>
    </row>
    <row r="154" spans="1:50" x14ac:dyDescent="0.25">
      <c r="A154" t="s">
        <v>126</v>
      </c>
      <c r="B154">
        <v>157</v>
      </c>
      <c r="C154">
        <v>34</v>
      </c>
      <c r="D154">
        <v>53</v>
      </c>
      <c r="E154" s="85"/>
      <c r="F154">
        <v>223</v>
      </c>
      <c r="G154">
        <v>209</v>
      </c>
      <c r="H154">
        <v>167</v>
      </c>
      <c r="I154" s="301"/>
      <c r="J154">
        <v>0</v>
      </c>
      <c r="K154">
        <v>0</v>
      </c>
      <c r="L154">
        <v>0</v>
      </c>
      <c r="M154" s="4"/>
      <c r="Q154" s="4"/>
      <c r="U154" s="4"/>
      <c r="Y154" s="4"/>
      <c r="Z154">
        <f t="shared" si="24"/>
        <v>127.5</v>
      </c>
      <c r="AA154">
        <f t="shared" si="25"/>
        <v>0</v>
      </c>
      <c r="AB154">
        <f t="shared" si="26"/>
        <v>0</v>
      </c>
      <c r="AC154" s="27"/>
      <c r="AD154">
        <f t="shared" si="27"/>
        <v>255</v>
      </c>
      <c r="AE154">
        <f t="shared" si="28"/>
        <v>255</v>
      </c>
      <c r="AF154">
        <f t="shared" si="29"/>
        <v>127.5</v>
      </c>
      <c r="AG154" s="29"/>
      <c r="AH154">
        <f t="shared" si="21"/>
        <v>0</v>
      </c>
      <c r="AI154">
        <f t="shared" si="22"/>
        <v>0</v>
      </c>
      <c r="AJ154">
        <f t="shared" si="23"/>
        <v>0</v>
      </c>
      <c r="AK154" s="4"/>
      <c r="AL154">
        <f>SQRT((2+(($AL$3+Table4[[#This Row],[Red]])/2)/256)*($AL$3-Table4[[#This Row],[Red]])^2 + 4*($AM$3-Table4[[#This Row],[Green]])^2 + (2+(255-(($AL$3+Table4[[#This Row],[Red]])/2))/256 )*($AN$3-Table4[[#This Row],[Blue]])^2)</f>
        <v>387.37046726131564</v>
      </c>
      <c r="AM154">
        <f>SQRT((2+(($AO$3+Table4[[#This Row],[Red2]])/2)/256)*($AO$3-Table4[[#This Row],[Red2]])^2 + 4*($AP$3-Table4[[#This Row],[Green2]])^2 + (2+(255-(($AO$3+Table4[[#This Row],[Red2]])/2))/256 )*($AQ$3-Table4[[#This Row],[Blue2]])^2)</f>
        <v>606.01353313581205</v>
      </c>
      <c r="AN154">
        <f>SQRT(Table4[[#This Row],[diffPrimary]]^2+Table4[[#This Row],[diffSecondary]]^2)</f>
        <v>719.24146241022561</v>
      </c>
      <c r="AO154" s="2">
        <f>SQRT((2+(($AL$3+Table4[[#This Row],[Red2]])/2)/256)*($AL$3-Table4[[#This Row],[Red2]])^2 + 4*($AM$3-Table4[[#This Row],[Green2]])^2 + (2+(255-(($AL$3+Table4[[#This Row],[Red2]])/2))/256 )*($AN$3-Table4[[#This Row],[Blue2]])^2)</f>
        <v>246.14845622103746</v>
      </c>
      <c r="AP154" s="2">
        <f>SQRT((2+(($AO$3+Table4[[#This Row],[Red]])/2)/256)*($AO$3-Table4[[#This Row],[Red]])^2 + 4*($AP$3-Table4[[#This Row],[Green]])^2 + (2+(255-(($AO$3+Table4[[#This Row],[Red]])/2))/256 )*($AQ$3-Table4[[#This Row],[Blue]])^2)</f>
        <v>262.74523514946947</v>
      </c>
      <c r="AQ154" s="2">
        <f>SQRT(Table4[[#This Row],[diffPrimary2]]^2+Table4[[#This Row],[diffSecondary2]]^2)</f>
        <v>360.03349996042033</v>
      </c>
      <c r="AR154" s="786">
        <f>MIN(Table4[[#This Row],[MinOrig]],Table4[[#This Row],[MinSwap]])</f>
        <v>360.03349996042033</v>
      </c>
      <c r="AS154" s="2">
        <v>99.2265006815216</v>
      </c>
      <c r="AX154" s="4"/>
    </row>
    <row r="155" spans="1:50" x14ac:dyDescent="0.25">
      <c r="A155" t="s">
        <v>148</v>
      </c>
      <c r="B155">
        <v>227</v>
      </c>
      <c r="C155">
        <v>27</v>
      </c>
      <c r="D155">
        <v>35</v>
      </c>
      <c r="E155" s="344"/>
      <c r="F155">
        <v>0</v>
      </c>
      <c r="G155">
        <v>0</v>
      </c>
      <c r="H155">
        <v>0</v>
      </c>
      <c r="I155" s="4"/>
      <c r="J155">
        <v>253</v>
      </c>
      <c r="K155">
        <v>185</v>
      </c>
      <c r="L155">
        <v>19</v>
      </c>
      <c r="M155" s="99"/>
      <c r="Q155" s="4"/>
      <c r="U155" s="4"/>
      <c r="Y155" s="4"/>
      <c r="Z155">
        <f t="shared" si="24"/>
        <v>255</v>
      </c>
      <c r="AA155">
        <f t="shared" si="25"/>
        <v>0</v>
      </c>
      <c r="AB155">
        <f t="shared" si="26"/>
        <v>0</v>
      </c>
      <c r="AC155" s="5"/>
      <c r="AD155">
        <f t="shared" si="27"/>
        <v>0</v>
      </c>
      <c r="AE155">
        <f t="shared" si="28"/>
        <v>0</v>
      </c>
      <c r="AF155">
        <f t="shared" si="29"/>
        <v>0</v>
      </c>
      <c r="AG155" s="4"/>
      <c r="AH155">
        <f t="shared" si="21"/>
        <v>255</v>
      </c>
      <c r="AI155">
        <f t="shared" si="22"/>
        <v>127.5</v>
      </c>
      <c r="AJ155">
        <f t="shared" si="23"/>
        <v>0</v>
      </c>
      <c r="AK155" s="28"/>
      <c r="AL155">
        <f>SQRT((2+(($AL$3+Table4[[#This Row],[Red]])/2)/256)*($AL$3-Table4[[#This Row],[Red]])^2 + 4*($AM$3-Table4[[#This Row],[Green]])^2 + (2+(255-(($AL$3+Table4[[#This Row],[Red]])/2))/256 )*($AN$3-Table4[[#This Row],[Blue]])^2)</f>
        <v>362.7107038501897</v>
      </c>
      <c r="AM155">
        <f>SQRT((2+(($AO$3+Table4[[#This Row],[Red2]])/2)/256)*($AO$3-Table4[[#This Row],[Red2]])^2 + 4*($AP$3-Table4[[#This Row],[Green2]])^2 + (2+(255-(($AO$3+Table4[[#This Row],[Red2]])/2))/256 )*($AQ$3-Table4[[#This Row],[Blue2]])^2)</f>
        <v>0</v>
      </c>
      <c r="AN155">
        <f>SQRT(Table4[[#This Row],[diffPrimary]]^2+Table4[[#This Row],[diffSecondary]]^2)</f>
        <v>362.7107038501897</v>
      </c>
      <c r="AO155" s="2">
        <f>SQRT((2+(($AL$3+Table4[[#This Row],[Red2]])/2)/256)*($AL$3-Table4[[#This Row],[Red2]])^2 + 4*($AM$3-Table4[[#This Row],[Green2]])^2 + (2+(255-(($AL$3+Table4[[#This Row],[Red2]])/2))/256 )*($AN$3-Table4[[#This Row],[Blue2]])^2)</f>
        <v>574.92216694686158</v>
      </c>
      <c r="AP155" s="2">
        <f>SQRT((2+(($AO$3+Table4[[#This Row],[Red]])/2)/256)*($AO$3-Table4[[#This Row],[Red]])^2 + 4*($AP$3-Table4[[#This Row],[Green]])^2 + (2+(255-(($AO$3+Table4[[#This Row],[Red]])/2))/256 )*($AQ$3-Table4[[#This Row],[Blue]])^2)</f>
        <v>363.24504792735991</v>
      </c>
      <c r="AQ155" s="2">
        <f>SQRT(Table4[[#This Row],[diffPrimary2]]^2+Table4[[#This Row],[diffSecondary2]]^2)</f>
        <v>680.06063177530359</v>
      </c>
      <c r="AR155" s="786">
        <f>MIN(Table4[[#This Row],[MinOrig]],Table4[[#This Row],[MinSwap]])</f>
        <v>362.7107038501897</v>
      </c>
      <c r="AS155" s="2">
        <v>28.568380138712801</v>
      </c>
      <c r="AX155" s="4"/>
    </row>
    <row r="156" spans="1:50" x14ac:dyDescent="0.25">
      <c r="A156" t="s">
        <v>71</v>
      </c>
      <c r="B156">
        <v>0</v>
      </c>
      <c r="C156">
        <v>47</v>
      </c>
      <c r="D156">
        <v>108</v>
      </c>
      <c r="E156" s="220"/>
      <c r="F156">
        <v>177</v>
      </c>
      <c r="G156">
        <v>179</v>
      </c>
      <c r="H156">
        <v>179</v>
      </c>
      <c r="I156" s="67"/>
      <c r="J156">
        <v>255</v>
      </c>
      <c r="K156">
        <v>255</v>
      </c>
      <c r="L156">
        <v>255</v>
      </c>
      <c r="M156" s="3"/>
      <c r="Q156" s="4"/>
      <c r="U156" s="4"/>
      <c r="Y156" s="4"/>
      <c r="Z156">
        <f t="shared" si="24"/>
        <v>0</v>
      </c>
      <c r="AA156">
        <f t="shared" si="25"/>
        <v>0</v>
      </c>
      <c r="AB156">
        <f t="shared" si="26"/>
        <v>127.5</v>
      </c>
      <c r="AC156" s="26"/>
      <c r="AD156">
        <f t="shared" si="27"/>
        <v>127.5</v>
      </c>
      <c r="AE156">
        <f t="shared" si="28"/>
        <v>127.5</v>
      </c>
      <c r="AF156">
        <f t="shared" si="29"/>
        <v>127.5</v>
      </c>
      <c r="AG156" s="32"/>
      <c r="AH156">
        <f t="shared" si="21"/>
        <v>255</v>
      </c>
      <c r="AI156">
        <f t="shared" si="22"/>
        <v>255</v>
      </c>
      <c r="AJ156">
        <f t="shared" si="23"/>
        <v>255</v>
      </c>
      <c r="AK156" s="3"/>
      <c r="AL156">
        <f>SQRT((2+(($AL$3+Table4[[#This Row],[Red]])/2)/256)*($AL$3-Table4[[#This Row],[Red]])^2 + 4*($AM$3-Table4[[#This Row],[Green]])^2 + (2+(255-(($AL$3+Table4[[#This Row],[Red]])/2))/256 )*($AN$3-Table4[[#This Row],[Blue]])^2)</f>
        <v>539.84138114530924</v>
      </c>
      <c r="AM156">
        <f>SQRT((2+(($AO$3+Table4[[#This Row],[Red2]])/2)/256)*($AO$3-Table4[[#This Row],[Red2]])^2 + 4*($AP$3-Table4[[#This Row],[Green2]])^2 + (2+(255-(($AO$3+Table4[[#This Row],[Red2]])/2))/256 )*($AQ$3-Table4[[#This Row],[Blue2]])^2)</f>
        <v>535.32578792614686</v>
      </c>
      <c r="AN156">
        <f>SQRT(Table4[[#This Row],[diffPrimary]]^2+Table4[[#This Row],[diffSecondary]]^2)</f>
        <v>760.26470128214225</v>
      </c>
      <c r="AO156" s="2">
        <f>SQRT((2+(($AL$3+Table4[[#This Row],[Red2]])/2)/256)*($AL$3-Table4[[#This Row],[Red2]])^2 + 4*($AM$3-Table4[[#This Row],[Green2]])^2 + (2+(255-(($AL$3+Table4[[#This Row],[Red2]])/2))/256 )*($AN$3-Table4[[#This Row],[Blue2]])^2)</f>
        <v>298.2760820008034</v>
      </c>
      <c r="AP156" s="2">
        <f>SQRT((2+(($AO$3+Table4[[#This Row],[Red]])/2)/256)*($AO$3-Table4[[#This Row],[Red]])^2 + 4*($AP$3-Table4[[#This Row],[Green]])^2 + (2+(255-(($AO$3+Table4[[#This Row],[Red]])/2))/256 )*($AQ$3-Table4[[#This Row],[Blue]])^2)</f>
        <v>209.24253272219775</v>
      </c>
      <c r="AQ156" s="2">
        <f>SQRT(Table4[[#This Row],[diffPrimary2]]^2+Table4[[#This Row],[diffSecondary2]]^2)</f>
        <v>364.35018676233722</v>
      </c>
      <c r="AR156" s="786">
        <f>MIN(Table4[[#This Row],[MinOrig]],Table4[[#This Row],[MinSwap]])</f>
        <v>364.35018676233722</v>
      </c>
      <c r="AS156" s="2">
        <v>70.067517661538403</v>
      </c>
      <c r="AX156" s="4"/>
    </row>
    <row r="157" spans="1:50" x14ac:dyDescent="0.25">
      <c r="A157" t="s">
        <v>15</v>
      </c>
      <c r="B157">
        <v>110</v>
      </c>
      <c r="C157">
        <v>38</v>
      </c>
      <c r="D157">
        <v>57</v>
      </c>
      <c r="E157" s="88"/>
      <c r="F157">
        <v>167</v>
      </c>
      <c r="G157">
        <v>169</v>
      </c>
      <c r="H157">
        <v>172</v>
      </c>
      <c r="I157" s="19"/>
      <c r="M157" s="4"/>
      <c r="Q157" s="4"/>
      <c r="U157" s="4"/>
      <c r="Y157" s="4"/>
      <c r="Z157">
        <f t="shared" si="24"/>
        <v>127.5</v>
      </c>
      <c r="AA157">
        <f t="shared" si="25"/>
        <v>0</v>
      </c>
      <c r="AB157">
        <f t="shared" si="26"/>
        <v>0</v>
      </c>
      <c r="AC157" s="27"/>
      <c r="AD157">
        <f t="shared" si="27"/>
        <v>127.5</v>
      </c>
      <c r="AE157">
        <f t="shared" si="28"/>
        <v>127.5</v>
      </c>
      <c r="AF157">
        <f t="shared" si="29"/>
        <v>127.5</v>
      </c>
      <c r="AG157" s="32"/>
      <c r="AH157">
        <f t="shared" si="21"/>
        <v>0</v>
      </c>
      <c r="AI157">
        <f t="shared" si="22"/>
        <v>0</v>
      </c>
      <c r="AJ157">
        <f t="shared" si="23"/>
        <v>0</v>
      </c>
      <c r="AK157" s="4"/>
      <c r="AL157">
        <f>SQRT((2+(($AL$3+Table4[[#This Row],[Red]])/2)/256)*($AL$3-Table4[[#This Row],[Red]])^2 + 4*($AM$3-Table4[[#This Row],[Green]])^2 + (2+(255-(($AL$3+Table4[[#This Row],[Red]])/2))/256 )*($AN$3-Table4[[#This Row],[Blue]])^2)</f>
        <v>419.5386184176017</v>
      </c>
      <c r="AM157">
        <f>SQRT((2+(($AO$3+Table4[[#This Row],[Red2]])/2)/256)*($AO$3-Table4[[#This Row],[Red2]])^2 + 4*($AP$3-Table4[[#This Row],[Green2]])^2 + (2+(255-(($AO$3+Table4[[#This Row],[Red2]])/2))/256 )*($AQ$3-Table4[[#This Row],[Blue2]])^2)</f>
        <v>508.0409197809513</v>
      </c>
      <c r="AN157">
        <f>SQRT(Table4[[#This Row],[diffPrimary]]^2+Table4[[#This Row],[diffSecondary]]^2)</f>
        <v>658.87648957572083</v>
      </c>
      <c r="AO157" s="2">
        <f>SQRT((2+(($AL$3+Table4[[#This Row],[Red2]])/2)/256)*($AL$3-Table4[[#This Row],[Red2]])^2 + 4*($AM$3-Table4[[#This Row],[Green2]])^2 + (2+(255-(($AL$3+Table4[[#This Row],[Red2]])/2))/256 )*($AN$3-Table4[[#This Row],[Blue2]])^2)</f>
        <v>302.17130902850454</v>
      </c>
      <c r="AP157" s="2">
        <f>SQRT((2+(($AO$3+Table4[[#This Row],[Red]])/2)/256)*($AO$3-Table4[[#This Row],[Red]])^2 + 4*($AP$3-Table4[[#This Row],[Green]])^2 + (2+(255-(($AO$3+Table4[[#This Row],[Red]])/2))/256 )*($AQ$3-Table4[[#This Row],[Blue]])^2)</f>
        <v>203.98992775379867</v>
      </c>
      <c r="AQ157" s="2">
        <f>SQRT(Table4[[#This Row],[diffPrimary2]]^2+Table4[[#This Row],[diffSecondary2]]^2)</f>
        <v>364.58111665992794</v>
      </c>
      <c r="AR157" s="786">
        <f>MIN(Table4[[#This Row],[MinOrig]],Table4[[#This Row],[MinSwap]])</f>
        <v>364.58111665992794</v>
      </c>
      <c r="AS157" s="2">
        <v>40.381916977156997</v>
      </c>
      <c r="AX157" s="4"/>
    </row>
    <row r="158" spans="1:50" x14ac:dyDescent="0.25">
      <c r="A158" t="s">
        <v>203</v>
      </c>
      <c r="B158">
        <v>212</v>
      </c>
      <c r="C158">
        <v>27</v>
      </c>
      <c r="D158">
        <v>44</v>
      </c>
      <c r="E158" s="413"/>
      <c r="F158">
        <v>0</v>
      </c>
      <c r="G158">
        <v>0</v>
      </c>
      <c r="H158">
        <v>0</v>
      </c>
      <c r="I158" s="4"/>
      <c r="J158">
        <v>255</v>
      </c>
      <c r="K158">
        <v>255</v>
      </c>
      <c r="L158">
        <v>255</v>
      </c>
      <c r="M158" s="3"/>
      <c r="Q158" s="4"/>
      <c r="U158" s="4"/>
      <c r="Y158" s="4"/>
      <c r="Z158">
        <f t="shared" si="24"/>
        <v>255</v>
      </c>
      <c r="AA158">
        <f t="shared" si="25"/>
        <v>0</v>
      </c>
      <c r="AB158">
        <f t="shared" si="26"/>
        <v>0</v>
      </c>
      <c r="AC158" s="5"/>
      <c r="AD158">
        <f t="shared" si="27"/>
        <v>0</v>
      </c>
      <c r="AE158">
        <f t="shared" si="28"/>
        <v>0</v>
      </c>
      <c r="AF158">
        <f t="shared" si="29"/>
        <v>0</v>
      </c>
      <c r="AG158" s="4"/>
      <c r="AH158">
        <f t="shared" si="21"/>
        <v>255</v>
      </c>
      <c r="AI158">
        <f t="shared" si="22"/>
        <v>255</v>
      </c>
      <c r="AJ158">
        <f t="shared" si="23"/>
        <v>255</v>
      </c>
      <c r="AK158" s="3"/>
      <c r="AL158">
        <f>SQRT((2+(($AL$3+Table4[[#This Row],[Red]])/2)/256)*($AL$3-Table4[[#This Row],[Red]])^2 + 4*($AM$3-Table4[[#This Row],[Green]])^2 + (2+(255-(($AL$3+Table4[[#This Row],[Red]])/2))/256 )*($AN$3-Table4[[#This Row],[Blue]])^2)</f>
        <v>368.99198363158922</v>
      </c>
      <c r="AM158">
        <f>SQRT((2+(($AO$3+Table4[[#This Row],[Red2]])/2)/256)*($AO$3-Table4[[#This Row],[Red2]])^2 + 4*($AP$3-Table4[[#This Row],[Green2]])^2 + (2+(255-(($AO$3+Table4[[#This Row],[Red2]])/2))/256 )*($AQ$3-Table4[[#This Row],[Blue2]])^2)</f>
        <v>0</v>
      </c>
      <c r="AN158">
        <f>SQRT(Table4[[#This Row],[diffPrimary]]^2+Table4[[#This Row],[diffSecondary]]^2)</f>
        <v>368.99198363158922</v>
      </c>
      <c r="AO158" s="2">
        <f>SQRT((2+(($AL$3+Table4[[#This Row],[Red2]])/2)/256)*($AL$3-Table4[[#This Row],[Red2]])^2 + 4*($AM$3-Table4[[#This Row],[Green2]])^2 + (2+(255-(($AL$3+Table4[[#This Row],[Red2]])/2))/256 )*($AN$3-Table4[[#This Row],[Blue2]])^2)</f>
        <v>574.92216694686158</v>
      </c>
      <c r="AP158" s="2">
        <f>SQRT((2+(($AO$3+Table4[[#This Row],[Red]])/2)/256)*($AO$3-Table4[[#This Row],[Red]])^2 + 4*($AP$3-Table4[[#This Row],[Green]])^2 + (2+(255-(($AO$3+Table4[[#This Row],[Red]])/2))/256 )*($AQ$3-Table4[[#This Row],[Blue]])^2)</f>
        <v>341.19266917681568</v>
      </c>
      <c r="AQ158" s="2">
        <f>SQRT(Table4[[#This Row],[diffPrimary2]]^2+Table4[[#This Row],[diffSecondary2]]^2)</f>
        <v>668.54164832632159</v>
      </c>
      <c r="AR158" s="786">
        <f>MIN(Table4[[#This Row],[MinOrig]],Table4[[#This Row],[MinSwap]])</f>
        <v>368.99198363158922</v>
      </c>
      <c r="AS158" s="2">
        <v>28.4491047750188</v>
      </c>
      <c r="AX158" s="4"/>
    </row>
    <row r="159" spans="1:50" x14ac:dyDescent="0.25">
      <c r="A159" t="s">
        <v>179</v>
      </c>
      <c r="B159">
        <v>255</v>
      </c>
      <c r="C159">
        <v>207</v>
      </c>
      <c r="D159">
        <v>0</v>
      </c>
      <c r="E159" s="379"/>
      <c r="F159">
        <v>0</v>
      </c>
      <c r="G159">
        <v>94</v>
      </c>
      <c r="H159">
        <v>184</v>
      </c>
      <c r="I159" s="216"/>
      <c r="J159">
        <v>255</v>
      </c>
      <c r="K159">
        <v>255</v>
      </c>
      <c r="L159">
        <v>255</v>
      </c>
      <c r="M159" s="3"/>
      <c r="N159">
        <v>0</v>
      </c>
      <c r="O159">
        <v>0</v>
      </c>
      <c r="P159">
        <v>0</v>
      </c>
      <c r="Q159" s="4"/>
      <c r="U159" s="4"/>
      <c r="Y159" s="4"/>
      <c r="Z159">
        <f t="shared" si="24"/>
        <v>255</v>
      </c>
      <c r="AA159">
        <f t="shared" si="25"/>
        <v>255</v>
      </c>
      <c r="AB159">
        <f t="shared" si="26"/>
        <v>0</v>
      </c>
      <c r="AC159" s="9"/>
      <c r="AD159">
        <f t="shared" si="27"/>
        <v>0</v>
      </c>
      <c r="AE159">
        <f t="shared" si="28"/>
        <v>127.5</v>
      </c>
      <c r="AF159">
        <f t="shared" si="29"/>
        <v>127.5</v>
      </c>
      <c r="AG159" s="24"/>
      <c r="AH159">
        <f t="shared" si="21"/>
        <v>255</v>
      </c>
      <c r="AI159">
        <f t="shared" si="22"/>
        <v>255</v>
      </c>
      <c r="AJ159">
        <f t="shared" si="23"/>
        <v>255</v>
      </c>
      <c r="AK159" s="3"/>
      <c r="AL159">
        <f>SQRT((2+(($AL$3+Table4[[#This Row],[Red]])/2)/256)*($AL$3-Table4[[#This Row],[Red]])^2 + 4*($AM$3-Table4[[#This Row],[Green]])^2 + (2+(255-(($AL$3+Table4[[#This Row],[Red]])/2))/256 )*($AN$3-Table4[[#This Row],[Blue]])^2)</f>
        <v>4</v>
      </c>
      <c r="AM159">
        <f>SQRT((2+(($AO$3+Table4[[#This Row],[Red2]])/2)/256)*($AO$3-Table4[[#This Row],[Red2]])^2 + 4*($AP$3-Table4[[#This Row],[Green2]])^2 + (2+(255-(($AO$3+Table4[[#This Row],[Red2]])/2))/256 )*($AQ$3-Table4[[#This Row],[Blue2]])^2)</f>
        <v>369.83746430019767</v>
      </c>
      <c r="AN159">
        <f>SQRT(Table4[[#This Row],[diffPrimary]]^2+Table4[[#This Row],[diffSecondary]]^2)</f>
        <v>369.8590947915165</v>
      </c>
      <c r="AO159" s="2">
        <f>SQRT((2+(($AL$3+Table4[[#This Row],[Red2]])/2)/256)*($AL$3-Table4[[#This Row],[Red2]])^2 + 4*($AM$3-Table4[[#This Row],[Green2]])^2 + (2+(255-(($AL$3+Table4[[#This Row],[Red2]])/2))/256 )*($AN$3-Table4[[#This Row],[Blue2]])^2)</f>
        <v>544.328368769142</v>
      </c>
      <c r="AP159" s="2">
        <f>SQRT((2+(($AO$3+Table4[[#This Row],[Red]])/2)/256)*($AO$3-Table4[[#This Row],[Red]])^2 + 4*($AP$3-Table4[[#This Row],[Green]])^2 + (2+(255-(($AO$3+Table4[[#This Row],[Red]])/2))/256 )*($AQ$3-Table4[[#This Row],[Blue]])^2)</f>
        <v>577.78153141726068</v>
      </c>
      <c r="AQ159" s="2">
        <f>SQRT(Table4[[#This Row],[diffPrimary2]]^2+Table4[[#This Row],[diffSecondary2]]^2)</f>
        <v>793.80405081717117</v>
      </c>
      <c r="AR159" s="786">
        <f>MIN(Table4[[#This Row],[MinOrig]],Table4[[#This Row],[MinSwap]])</f>
        <v>369.8590947915165</v>
      </c>
      <c r="AS159" s="2">
        <v>56.246909637330297</v>
      </c>
      <c r="AX159" s="4"/>
    </row>
    <row r="160" spans="1:50" x14ac:dyDescent="0.25">
      <c r="A160" t="s">
        <v>450</v>
      </c>
      <c r="B160">
        <v>10</v>
      </c>
      <c r="C160">
        <v>10</v>
      </c>
      <c r="D160">
        <v>10</v>
      </c>
      <c r="E160" s="386"/>
      <c r="F160">
        <v>215</v>
      </c>
      <c r="G160">
        <v>25</v>
      </c>
      <c r="H160">
        <v>32</v>
      </c>
      <c r="I160" s="426"/>
      <c r="J160">
        <v>99</v>
      </c>
      <c r="K160">
        <v>101</v>
      </c>
      <c r="L160">
        <v>104</v>
      </c>
      <c r="M160" s="427"/>
      <c r="Q160" s="4"/>
      <c r="U160" s="4"/>
      <c r="Y160" s="4"/>
      <c r="Z160">
        <f t="shared" si="24"/>
        <v>0</v>
      </c>
      <c r="AA160">
        <f t="shared" si="25"/>
        <v>0</v>
      </c>
      <c r="AB160">
        <f t="shared" si="26"/>
        <v>0</v>
      </c>
      <c r="AC160" s="4"/>
      <c r="AD160">
        <f t="shared" si="27"/>
        <v>255</v>
      </c>
      <c r="AE160">
        <f t="shared" si="28"/>
        <v>0</v>
      </c>
      <c r="AF160">
        <f t="shared" si="29"/>
        <v>0</v>
      </c>
      <c r="AG160" s="5"/>
      <c r="AH160">
        <f t="shared" si="21"/>
        <v>127.5</v>
      </c>
      <c r="AI160">
        <f t="shared" si="22"/>
        <v>127.5</v>
      </c>
      <c r="AJ160">
        <f t="shared" si="23"/>
        <v>127.5</v>
      </c>
      <c r="AK160" s="32"/>
      <c r="AL160">
        <f>SQRT((2+(($AL$3+Table4[[#This Row],[Red]])/2)/256)*($AL$3-Table4[[#This Row],[Red]])^2 + 4*($AM$3-Table4[[#This Row],[Green]])^2 + (2+(255-(($AL$3+Table4[[#This Row],[Red]])/2))/256 )*($AN$3-Table4[[#This Row],[Blue]])^2)</f>
        <v>550.87700851971033</v>
      </c>
      <c r="AM160">
        <f>SQRT((2+(($AO$3+Table4[[#This Row],[Red2]])/2)/256)*($AO$3-Table4[[#This Row],[Red2]])^2 + 4*($AP$3-Table4[[#This Row],[Green2]])^2 + (2+(255-(($AO$3+Table4[[#This Row],[Red2]])/2))/256 )*($AQ$3-Table4[[#This Row],[Blue2]])^2)</f>
        <v>342.05100302714362</v>
      </c>
      <c r="AN160">
        <f>SQRT(Table4[[#This Row],[diffPrimary]]^2+Table4[[#This Row],[diffSecondary]]^2)</f>
        <v>648.43223793045638</v>
      </c>
      <c r="AO160" s="2">
        <f>SQRT((2+(($AL$3+Table4[[#This Row],[Red2]])/2)/256)*($AL$3-Table4[[#This Row],[Red2]])^2 + 4*($AM$3-Table4[[#This Row],[Green2]])^2 + (2+(255-(($AL$3+Table4[[#This Row],[Red2]])/2))/256 )*($AN$3-Table4[[#This Row],[Blue2]])^2)</f>
        <v>369.31930629199445</v>
      </c>
      <c r="AP160" s="2">
        <f>SQRT((2+(($AO$3+Table4[[#This Row],[Red]])/2)/256)*($AO$3-Table4[[#This Row],[Red]])^2 + 4*($AP$3-Table4[[#This Row],[Green]])^2 + (2+(255-(($AO$3+Table4[[#This Row],[Red]])/2))/256 )*($AQ$3-Table4[[#This Row],[Blue]])^2)</f>
        <v>29.993488876754569</v>
      </c>
      <c r="AQ160" s="2">
        <f>SQRT(Table4[[#This Row],[diffPrimary2]]^2+Table4[[#This Row],[diffSecondary2]]^2)</f>
        <v>370.53523364856949</v>
      </c>
      <c r="AR160" s="786">
        <f>MIN(Table4[[#This Row],[MinOrig]],Table4[[#This Row],[MinSwap]])</f>
        <v>370.53523364856949</v>
      </c>
      <c r="AS160" s="2">
        <v>25.3415342742897</v>
      </c>
      <c r="AX160" s="4"/>
    </row>
    <row r="161" spans="1:50" x14ac:dyDescent="0.25">
      <c r="A161" t="s">
        <v>251</v>
      </c>
      <c r="B161">
        <v>242</v>
      </c>
      <c r="C161">
        <v>77</v>
      </c>
      <c r="D161">
        <v>23</v>
      </c>
      <c r="E161" s="633"/>
      <c r="F161">
        <v>0</v>
      </c>
      <c r="G161">
        <v>34</v>
      </c>
      <c r="H161">
        <v>148</v>
      </c>
      <c r="I161" s="634"/>
      <c r="M161" s="4"/>
      <c r="Q161" s="4"/>
      <c r="U161" s="4"/>
      <c r="Y161" s="4"/>
      <c r="Z161">
        <f t="shared" si="24"/>
        <v>255</v>
      </c>
      <c r="AA161">
        <f t="shared" si="25"/>
        <v>127.5</v>
      </c>
      <c r="AB161">
        <f t="shared" si="26"/>
        <v>0</v>
      </c>
      <c r="AC161" s="28"/>
      <c r="AD161">
        <f t="shared" si="27"/>
        <v>0</v>
      </c>
      <c r="AE161">
        <f t="shared" si="28"/>
        <v>0</v>
      </c>
      <c r="AF161">
        <f t="shared" si="29"/>
        <v>127.5</v>
      </c>
      <c r="AG161" s="26"/>
      <c r="AH161">
        <f t="shared" si="21"/>
        <v>0</v>
      </c>
      <c r="AI161">
        <f t="shared" si="22"/>
        <v>0</v>
      </c>
      <c r="AJ161">
        <f t="shared" si="23"/>
        <v>0</v>
      </c>
      <c r="AK161" s="4"/>
      <c r="AL161">
        <f>SQRT((2+(($AL$3+Table4[[#This Row],[Red]])/2)/256)*($AL$3-Table4[[#This Row],[Red]])^2 + 4*($AM$3-Table4[[#This Row],[Green]])^2 + (2+(255-(($AL$3+Table4[[#This Row],[Red]])/2))/256 )*($AN$3-Table4[[#This Row],[Blue]])^2)</f>
        <v>259.05497576528035</v>
      </c>
      <c r="AM161">
        <f>SQRT((2+(($AO$3+Table4[[#This Row],[Red2]])/2)/256)*($AO$3-Table4[[#This Row],[Red2]])^2 + 4*($AP$3-Table4[[#This Row],[Green2]])^2 + (2+(255-(($AO$3+Table4[[#This Row],[Red2]])/2))/256 )*($AQ$3-Table4[[#This Row],[Blue2]])^2)</f>
        <v>265.0479909374904</v>
      </c>
      <c r="AN161">
        <f>SQRT(Table4[[#This Row],[diffPrimary]]^2+Table4[[#This Row],[diffSecondary]]^2)</f>
        <v>370.62098964946654</v>
      </c>
      <c r="AO161" s="2">
        <f>SQRT((2+(($AL$3+Table4[[#This Row],[Red2]])/2)/256)*($AL$3-Table4[[#This Row],[Red2]])^2 + 4*($AM$3-Table4[[#This Row],[Green2]])^2 + (2+(255-(($AL$3+Table4[[#This Row],[Red2]])/2))/256 )*($AN$3-Table4[[#This Row],[Blue2]])^2)</f>
        <v>578.02830103453846</v>
      </c>
      <c r="AP161" s="2">
        <f>SQRT((2+(($AO$3+Table4[[#This Row],[Red]])/2)/256)*($AO$3-Table4[[#This Row],[Red]])^2 + 4*($AP$3-Table4[[#This Row],[Green]])^2 + (2+(255-(($AO$3+Table4[[#This Row],[Red]])/2))/256 )*($AQ$3-Table4[[#This Row],[Blue]])^2)</f>
        <v>412.14019345666833</v>
      </c>
      <c r="AQ161" s="2">
        <f>SQRT(Table4[[#This Row],[diffPrimary2]]^2+Table4[[#This Row],[diffSecondary2]]^2)</f>
        <v>709.91285089042799</v>
      </c>
      <c r="AR161" s="786">
        <f>MIN(Table4[[#This Row],[MinOrig]],Table4[[#This Row],[MinSwap]])</f>
        <v>370.62098964946654</v>
      </c>
      <c r="AS161" s="2">
        <v>35.459924562807501</v>
      </c>
      <c r="AX161" s="4"/>
    </row>
    <row r="162" spans="1:50" x14ac:dyDescent="0.25">
      <c r="A162" t="s">
        <v>185</v>
      </c>
      <c r="B162">
        <v>227</v>
      </c>
      <c r="C162">
        <v>25</v>
      </c>
      <c r="D162">
        <v>55</v>
      </c>
      <c r="E162" s="355"/>
      <c r="F162">
        <v>0</v>
      </c>
      <c r="G162">
        <v>0</v>
      </c>
      <c r="H162">
        <v>0</v>
      </c>
      <c r="I162" s="4"/>
      <c r="J162">
        <v>255</v>
      </c>
      <c r="K162">
        <v>255</v>
      </c>
      <c r="L162">
        <v>255</v>
      </c>
      <c r="M162" s="3"/>
      <c r="N162">
        <v>253</v>
      </c>
      <c r="O162">
        <v>242</v>
      </c>
      <c r="P162">
        <v>217</v>
      </c>
      <c r="Q162" s="356"/>
      <c r="U162" s="4"/>
      <c r="Y162" s="4"/>
      <c r="Z162">
        <f t="shared" si="24"/>
        <v>255</v>
      </c>
      <c r="AA162">
        <f t="shared" si="25"/>
        <v>0</v>
      </c>
      <c r="AB162">
        <f t="shared" si="26"/>
        <v>0</v>
      </c>
      <c r="AC162" s="5"/>
      <c r="AD162">
        <f t="shared" si="27"/>
        <v>0</v>
      </c>
      <c r="AE162">
        <f t="shared" si="28"/>
        <v>0</v>
      </c>
      <c r="AF162">
        <f t="shared" si="29"/>
        <v>0</v>
      </c>
      <c r="AG162" s="4"/>
      <c r="AH162">
        <f t="shared" si="21"/>
        <v>255</v>
      </c>
      <c r="AI162">
        <f t="shared" si="22"/>
        <v>255</v>
      </c>
      <c r="AJ162">
        <f t="shared" si="23"/>
        <v>255</v>
      </c>
      <c r="AK162" s="3"/>
      <c r="AL162">
        <f>SQRT((2+(($AL$3+Table4[[#This Row],[Red]])/2)/256)*($AL$3-Table4[[#This Row],[Red]])^2 + 4*($AM$3-Table4[[#This Row],[Green]])^2 + (2+(255-(($AL$3+Table4[[#This Row],[Red]])/2))/256 )*($AN$3-Table4[[#This Row],[Blue]])^2)</f>
        <v>371.64699943292965</v>
      </c>
      <c r="AM162">
        <f>SQRT((2+(($AO$3+Table4[[#This Row],[Red2]])/2)/256)*($AO$3-Table4[[#This Row],[Red2]])^2 + 4*($AP$3-Table4[[#This Row],[Green2]])^2 + (2+(255-(($AO$3+Table4[[#This Row],[Red2]])/2))/256 )*($AQ$3-Table4[[#This Row],[Blue2]])^2)</f>
        <v>0</v>
      </c>
      <c r="AN162">
        <f>SQRT(Table4[[#This Row],[diffPrimary]]^2+Table4[[#This Row],[diffSecondary]]^2)</f>
        <v>371.64699943292965</v>
      </c>
      <c r="AO162" s="2">
        <f>SQRT((2+(($AL$3+Table4[[#This Row],[Red2]])/2)/256)*($AL$3-Table4[[#This Row],[Red2]])^2 + 4*($AM$3-Table4[[#This Row],[Green2]])^2 + (2+(255-(($AL$3+Table4[[#This Row],[Red2]])/2))/256 )*($AN$3-Table4[[#This Row],[Blue2]])^2)</f>
        <v>574.92216694686158</v>
      </c>
      <c r="AP162" s="2">
        <f>SQRT((2+(($AO$3+Table4[[#This Row],[Red]])/2)/256)*($AO$3-Table4[[#This Row],[Red]])^2 + 4*($AP$3-Table4[[#This Row],[Green]])^2 + (2+(255-(($AO$3+Table4[[#This Row],[Red]])/2))/256 )*($AQ$3-Table4[[#This Row],[Blue]])^2)</f>
        <v>368.9524179602974</v>
      </c>
      <c r="AQ162" s="2">
        <f>SQRT(Table4[[#This Row],[diffPrimary2]]^2+Table4[[#This Row],[diffSecondary2]]^2)</f>
        <v>683.12618509732522</v>
      </c>
      <c r="AR162" s="786">
        <f>MIN(Table4[[#This Row],[MinOrig]],Table4[[#This Row],[MinSwap]])</f>
        <v>371.64699943292965</v>
      </c>
      <c r="AS162" s="2">
        <v>29.321493822791499</v>
      </c>
      <c r="AX162" s="4"/>
    </row>
    <row r="163" spans="1:50" x14ac:dyDescent="0.25">
      <c r="A163" t="s">
        <v>128</v>
      </c>
      <c r="B163">
        <v>0</v>
      </c>
      <c r="C163">
        <v>78</v>
      </c>
      <c r="D163">
        <v>68</v>
      </c>
      <c r="E163" s="303"/>
      <c r="F163">
        <v>137</v>
      </c>
      <c r="G163">
        <v>138</v>
      </c>
      <c r="H163">
        <v>141</v>
      </c>
      <c r="I163" s="304"/>
      <c r="J163">
        <v>187</v>
      </c>
      <c r="K163">
        <v>187</v>
      </c>
      <c r="L163">
        <v>187</v>
      </c>
      <c r="M163" s="305"/>
      <c r="N163">
        <v>0</v>
      </c>
      <c r="O163">
        <v>0</v>
      </c>
      <c r="P163">
        <v>0</v>
      </c>
      <c r="Q163" s="4"/>
      <c r="U163" s="4"/>
      <c r="Y163" s="4"/>
      <c r="Z163">
        <f t="shared" si="24"/>
        <v>0</v>
      </c>
      <c r="AA163">
        <f t="shared" si="25"/>
        <v>127.5</v>
      </c>
      <c r="AB163">
        <f t="shared" si="26"/>
        <v>127.5</v>
      </c>
      <c r="AC163" s="24"/>
      <c r="AD163">
        <f t="shared" si="27"/>
        <v>127.5</v>
      </c>
      <c r="AE163">
        <f t="shared" si="28"/>
        <v>127.5</v>
      </c>
      <c r="AF163">
        <f t="shared" si="29"/>
        <v>127.5</v>
      </c>
      <c r="AG163" s="32"/>
      <c r="AH163">
        <f t="shared" si="21"/>
        <v>127.5</v>
      </c>
      <c r="AI163">
        <f t="shared" si="22"/>
        <v>127.5</v>
      </c>
      <c r="AJ163">
        <f t="shared" si="23"/>
        <v>127.5</v>
      </c>
      <c r="AK163" s="32"/>
      <c r="AL163">
        <f>SQRT((2+(($AL$3+Table4[[#This Row],[Red]])/2)/256)*($AL$3-Table4[[#This Row],[Red]])^2 + 4*($AM$3-Table4[[#This Row],[Green]])^2 + (2+(255-(($AL$3+Table4[[#This Row],[Red]])/2))/256 )*($AN$3-Table4[[#This Row],[Blue]])^2)</f>
        <v>488.36714344525166</v>
      </c>
      <c r="AM163">
        <f>SQRT((2+(($AO$3+Table4[[#This Row],[Red2]])/2)/256)*($AO$3-Table4[[#This Row],[Red2]])^2 + 4*($AP$3-Table4[[#This Row],[Green2]])^2 + (2+(255-(($AO$3+Table4[[#This Row],[Red2]])/2))/256 )*($AQ$3-Table4[[#This Row],[Blue2]])^2)</f>
        <v>415.91079929324991</v>
      </c>
      <c r="AN163">
        <f>SQRT(Table4[[#This Row],[diffPrimary]]^2+Table4[[#This Row],[diffSecondary]]^2)</f>
        <v>641.47038884552182</v>
      </c>
      <c r="AO163" s="2">
        <f>SQRT((2+(($AL$3+Table4[[#This Row],[Red2]])/2)/256)*($AL$3-Table4[[#This Row],[Red2]])^2 + 4*($AM$3-Table4[[#This Row],[Green2]])^2 + (2+(255-(($AL$3+Table4[[#This Row],[Red2]])/2))/256 )*($AN$3-Table4[[#This Row],[Blue2]])^2)</f>
        <v>317.50356174183304</v>
      </c>
      <c r="AP163" s="2">
        <f>SQRT((2+(($AO$3+Table4[[#This Row],[Red]])/2)/256)*($AO$3-Table4[[#This Row],[Red]])^2 + 4*($AP$3-Table4[[#This Row],[Green]])^2 + (2+(255-(($AO$3+Table4[[#This Row],[Red]])/2))/256 )*($AQ$3-Table4[[#This Row],[Blue]])^2)</f>
        <v>195.42245904706041</v>
      </c>
      <c r="AQ163" s="2">
        <f>SQRT(Table4[[#This Row],[diffPrimary2]]^2+Table4[[#This Row],[diffSecondary2]]^2)</f>
        <v>372.82495788070571</v>
      </c>
      <c r="AR163" s="786">
        <f>MIN(Table4[[#This Row],[MinOrig]],Table4[[#This Row],[MinSwap]])</f>
        <v>372.82495788070571</v>
      </c>
      <c r="AS163" s="2">
        <v>71.723263746848602</v>
      </c>
      <c r="AX163" s="4"/>
    </row>
    <row r="164" spans="1:50" x14ac:dyDescent="0.25">
      <c r="A164" t="s">
        <v>34</v>
      </c>
      <c r="B164">
        <v>19</v>
      </c>
      <c r="C164">
        <v>41</v>
      </c>
      <c r="D164">
        <v>75</v>
      </c>
      <c r="E164" s="127"/>
      <c r="F164">
        <v>116</v>
      </c>
      <c r="G164">
        <v>118</v>
      </c>
      <c r="H164">
        <v>120</v>
      </c>
      <c r="I164" s="128"/>
      <c r="J164">
        <v>209</v>
      </c>
      <c r="K164">
        <v>224</v>
      </c>
      <c r="L164">
        <v>215</v>
      </c>
      <c r="M164" s="129"/>
      <c r="N164">
        <v>0</v>
      </c>
      <c r="O164">
        <v>0</v>
      </c>
      <c r="P164">
        <v>0</v>
      </c>
      <c r="Q164" s="4"/>
      <c r="U164" s="4"/>
      <c r="Y164" s="4"/>
      <c r="Z164">
        <f t="shared" si="24"/>
        <v>0</v>
      </c>
      <c r="AA164">
        <f t="shared" si="25"/>
        <v>0</v>
      </c>
      <c r="AB164">
        <f t="shared" si="26"/>
        <v>127.5</v>
      </c>
      <c r="AC164" s="26"/>
      <c r="AD164">
        <f t="shared" si="27"/>
        <v>127.5</v>
      </c>
      <c r="AE164">
        <f t="shared" si="28"/>
        <v>127.5</v>
      </c>
      <c r="AF164">
        <f t="shared" si="29"/>
        <v>127.5</v>
      </c>
      <c r="AG164" s="32"/>
      <c r="AH164">
        <f t="shared" ref="AH164:AH227" si="30">ROUND(J164/255*$AA$2,0)*$AC$2/$AA$2</f>
        <v>255</v>
      </c>
      <c r="AI164">
        <f t="shared" ref="AI164:AI227" si="31">ROUND(K164/255*$AA$2,0)*$AC$2/$AA$2</f>
        <v>255</v>
      </c>
      <c r="AJ164">
        <f t="shared" ref="AJ164:AJ227" si="32">ROUND(L164/255*$AA$2,0)*$AC$2/$AA$2</f>
        <v>255</v>
      </c>
      <c r="AK164" s="3"/>
      <c r="AL164">
        <f>SQRT((2+(($AL$3+Table4[[#This Row],[Red]])/2)/256)*($AL$3-Table4[[#This Row],[Red]])^2 + 4*($AM$3-Table4[[#This Row],[Green]])^2 + (2+(255-(($AL$3+Table4[[#This Row],[Red]])/2))/256 )*($AN$3-Table4[[#This Row],[Blue]])^2)</f>
        <v>512.46935121770946</v>
      </c>
      <c r="AM164">
        <f>SQRT((2+(($AO$3+Table4[[#This Row],[Red2]])/2)/256)*($AO$3-Table4[[#This Row],[Red2]])^2 + 4*($AP$3-Table4[[#This Row],[Green2]])^2 + (2+(255-(($AO$3+Table4[[#This Row],[Red2]])/2))/256 )*($AQ$3-Table4[[#This Row],[Blue2]])^2)</f>
        <v>354.31324417808599</v>
      </c>
      <c r="AN164">
        <f>SQRT(Table4[[#This Row],[diffPrimary]]^2+Table4[[#This Row],[diffSecondary]]^2)</f>
        <v>623.02705473959963</v>
      </c>
      <c r="AO164" s="2">
        <f>SQRT((2+(($AL$3+Table4[[#This Row],[Red2]])/2)/256)*($AL$3-Table4[[#This Row],[Red2]])^2 + 4*($AM$3-Table4[[#This Row],[Green2]])^2 + (2+(255-(($AL$3+Table4[[#This Row],[Red2]])/2))/256 )*($AN$3-Table4[[#This Row],[Blue2]])^2)</f>
        <v>340.04051631294618</v>
      </c>
      <c r="AP164" s="2">
        <f>SQRT((2+(($AO$3+Table4[[#This Row],[Red]])/2)/256)*($AO$3-Table4[[#This Row],[Red]])^2 + 4*($AP$3-Table4[[#This Row],[Green]])^2 + (2+(255-(($AO$3+Table4[[#This Row],[Red]])/2))/256 )*($AQ$3-Table4[[#This Row],[Blue]])^2)</f>
        <v>155.253610565906</v>
      </c>
      <c r="AQ164" s="2">
        <f>SQRT(Table4[[#This Row],[diffPrimary2]]^2+Table4[[#This Row],[diffSecondary2]]^2)</f>
        <v>373.80641557914038</v>
      </c>
      <c r="AR164" s="786">
        <f>MIN(Table4[[#This Row],[MinOrig]],Table4[[#This Row],[MinSwap]])</f>
        <v>373.80641557914038</v>
      </c>
      <c r="AS164" s="2">
        <v>57.0378848880286</v>
      </c>
      <c r="AX164" s="4"/>
    </row>
    <row r="165" spans="1:50" x14ac:dyDescent="0.25">
      <c r="A165" t="s">
        <v>13</v>
      </c>
      <c r="B165">
        <v>238</v>
      </c>
      <c r="C165">
        <v>179</v>
      </c>
      <c r="D165">
        <v>16</v>
      </c>
      <c r="E165" s="86"/>
      <c r="F165">
        <v>227</v>
      </c>
      <c r="G165">
        <v>24</v>
      </c>
      <c r="H165">
        <v>55</v>
      </c>
      <c r="I165" s="87"/>
      <c r="J165">
        <v>255</v>
      </c>
      <c r="K165">
        <v>255</v>
      </c>
      <c r="L165">
        <v>255</v>
      </c>
      <c r="M165" s="3"/>
      <c r="Q165" s="4"/>
      <c r="U165" s="4"/>
      <c r="Y165" s="4"/>
      <c r="Z165">
        <f t="shared" si="24"/>
        <v>255</v>
      </c>
      <c r="AA165">
        <f t="shared" si="25"/>
        <v>127.5</v>
      </c>
      <c r="AB165">
        <f t="shared" si="26"/>
        <v>0</v>
      </c>
      <c r="AC165" s="28"/>
      <c r="AD165">
        <f t="shared" si="27"/>
        <v>255</v>
      </c>
      <c r="AE165">
        <f t="shared" si="28"/>
        <v>0</v>
      </c>
      <c r="AF165">
        <f t="shared" si="29"/>
        <v>0</v>
      </c>
      <c r="AG165" s="5"/>
      <c r="AH165">
        <f t="shared" si="30"/>
        <v>255</v>
      </c>
      <c r="AI165">
        <f t="shared" si="31"/>
        <v>255</v>
      </c>
      <c r="AJ165">
        <f t="shared" si="32"/>
        <v>255</v>
      </c>
      <c r="AK165" s="3"/>
      <c r="AL165">
        <f>SQRT((2+(($AL$3+Table4[[#This Row],[Red]])/2)/256)*($AL$3-Table4[[#This Row],[Red]])^2 + 4*($AM$3-Table4[[#This Row],[Green]])^2 + (2+(255-(($AL$3+Table4[[#This Row],[Red]])/2))/256 )*($AN$3-Table4[[#This Row],[Blue]])^2)</f>
        <v>63.880947007891173</v>
      </c>
      <c r="AM165">
        <f>SQRT((2+(($AO$3+Table4[[#This Row],[Red2]])/2)/256)*($AO$3-Table4[[#This Row],[Red2]])^2 + 4*($AP$3-Table4[[#This Row],[Green2]])^2 + (2+(255-(($AO$3+Table4[[#This Row],[Red2]])/2))/256 )*($AQ$3-Table4[[#This Row],[Blue2]])^2)</f>
        <v>368.68670537293582</v>
      </c>
      <c r="AN165">
        <f>SQRT(Table4[[#This Row],[diffPrimary]]^2+Table4[[#This Row],[diffSecondary]]^2)</f>
        <v>374.17998624909774</v>
      </c>
      <c r="AO165" s="2">
        <f>SQRT((2+(($AL$3+Table4[[#This Row],[Red2]])/2)/256)*($AL$3-Table4[[#This Row],[Red2]])^2 + 4*($AM$3-Table4[[#This Row],[Green2]])^2 + (2+(255-(($AL$3+Table4[[#This Row],[Red2]])/2))/256 )*($AN$3-Table4[[#This Row],[Blue2]])^2)</f>
        <v>373.58465196993842</v>
      </c>
      <c r="AP165" s="2">
        <f>SQRT((2+(($AO$3+Table4[[#This Row],[Red]])/2)/256)*($AO$3-Table4[[#This Row],[Red]])^2 + 4*($AP$3-Table4[[#This Row],[Green]])^2 + (2+(255-(($AO$3+Table4[[#This Row],[Red]])/2))/256 )*($AQ$3-Table4[[#This Row],[Blue]])^2)</f>
        <v>518.10289458272666</v>
      </c>
      <c r="AQ165" s="2">
        <f>SQRT(Table4[[#This Row],[diffPrimary2]]^2+Table4[[#This Row],[diffSecondary2]]^2)</f>
        <v>638.74572527923817</v>
      </c>
      <c r="AR165" s="786">
        <f>MIN(Table4[[#This Row],[MinOrig]],Table4[[#This Row],[MinSwap]])</f>
        <v>374.17998624909774</v>
      </c>
      <c r="AS165" s="2">
        <v>80.916080659996098</v>
      </c>
      <c r="AX165" s="4"/>
    </row>
    <row r="166" spans="1:50" x14ac:dyDescent="0.25">
      <c r="A166" t="s">
        <v>146</v>
      </c>
      <c r="B166">
        <v>206</v>
      </c>
      <c r="C166">
        <v>24</v>
      </c>
      <c r="D166">
        <v>30</v>
      </c>
      <c r="E166" s="339"/>
      <c r="F166">
        <v>10</v>
      </c>
      <c r="G166">
        <v>2</v>
      </c>
      <c r="H166">
        <v>3</v>
      </c>
      <c r="I166" s="340"/>
      <c r="J166">
        <v>193</v>
      </c>
      <c r="K166">
        <v>197</v>
      </c>
      <c r="L166">
        <v>201</v>
      </c>
      <c r="M166" s="341"/>
      <c r="N166">
        <v>241</v>
      </c>
      <c r="O166">
        <v>140</v>
      </c>
      <c r="P166">
        <v>33</v>
      </c>
      <c r="Q166" s="342"/>
      <c r="U166" s="4"/>
      <c r="Y166" s="4"/>
      <c r="Z166">
        <f t="shared" si="24"/>
        <v>255</v>
      </c>
      <c r="AA166">
        <f t="shared" si="25"/>
        <v>0</v>
      </c>
      <c r="AB166">
        <f t="shared" si="26"/>
        <v>0</v>
      </c>
      <c r="AC166" s="5"/>
      <c r="AD166">
        <f t="shared" si="27"/>
        <v>0</v>
      </c>
      <c r="AE166">
        <f t="shared" si="28"/>
        <v>0</v>
      </c>
      <c r="AF166">
        <f t="shared" si="29"/>
        <v>0</v>
      </c>
      <c r="AG166" s="4"/>
      <c r="AH166">
        <f t="shared" si="30"/>
        <v>255</v>
      </c>
      <c r="AI166">
        <f t="shared" si="31"/>
        <v>255</v>
      </c>
      <c r="AJ166">
        <f t="shared" si="32"/>
        <v>255</v>
      </c>
      <c r="AK166" s="3"/>
      <c r="AL166">
        <f>SQRT((2+(($AL$3+Table4[[#This Row],[Red]])/2)/256)*($AL$3-Table4[[#This Row],[Red]])^2 + 4*($AM$3-Table4[[#This Row],[Green]])^2 + (2+(255-(($AL$3+Table4[[#This Row],[Red]])/2))/256 )*($AN$3-Table4[[#This Row],[Blue]])^2)</f>
        <v>374.02402423256854</v>
      </c>
      <c r="AM166">
        <f>SQRT((2+(($AO$3+Table4[[#This Row],[Red2]])/2)/256)*($AO$3-Table4[[#This Row],[Red2]])^2 + 4*($AP$3-Table4[[#This Row],[Green2]])^2 + (2+(255-(($AO$3+Table4[[#This Row],[Red2]])/2))/256 )*($AQ$3-Table4[[#This Row],[Blue2]])^2)</f>
        <v>15.644238156586598</v>
      </c>
      <c r="AN166">
        <f>SQRT(Table4[[#This Row],[diffPrimary]]^2+Table4[[#This Row],[diffSecondary]]^2)</f>
        <v>374.35105568253044</v>
      </c>
      <c r="AO166" s="2">
        <f>SQRT((2+(($AL$3+Table4[[#This Row],[Red2]])/2)/256)*($AL$3-Table4[[#This Row],[Red2]])^2 + 4*($AM$3-Table4[[#This Row],[Green2]])^2 + (2+(255-(($AL$3+Table4[[#This Row],[Red2]])/2))/256 )*($AN$3-Table4[[#This Row],[Blue2]])^2)</f>
        <v>562.11736638690502</v>
      </c>
      <c r="AP166" s="2">
        <f>SQRT((2+(($AO$3+Table4[[#This Row],[Red]])/2)/256)*($AO$3-Table4[[#This Row],[Red]])^2 + 4*($AP$3-Table4[[#This Row],[Green]])^2 + (2+(255-(($AO$3+Table4[[#This Row],[Red]])/2))/256 )*($AQ$3-Table4[[#This Row],[Blue]])^2)</f>
        <v>326.47240982202464</v>
      </c>
      <c r="AQ166" s="2">
        <f>SQRT(Table4[[#This Row],[diffPrimary2]]^2+Table4[[#This Row],[diffSecondary2]]^2)</f>
        <v>650.04628140521652</v>
      </c>
      <c r="AR166" s="786">
        <f>MIN(Table4[[#This Row],[MinOrig]],Table4[[#This Row],[MinSwap]])</f>
        <v>374.35105568253044</v>
      </c>
      <c r="AS166" s="2">
        <v>25.3415342742897</v>
      </c>
      <c r="AX166" s="4"/>
    </row>
    <row r="167" spans="1:50" x14ac:dyDescent="0.25">
      <c r="A167" t="s">
        <v>68</v>
      </c>
      <c r="B167">
        <v>139</v>
      </c>
      <c r="C167">
        <v>35</v>
      </c>
      <c r="D167">
        <v>50</v>
      </c>
      <c r="E167" s="214"/>
      <c r="F167">
        <v>139</v>
      </c>
      <c r="G167">
        <v>111</v>
      </c>
      <c r="H167">
        <v>75</v>
      </c>
      <c r="I167" s="215"/>
      <c r="M167" s="4"/>
      <c r="Q167" s="4"/>
      <c r="U167" s="4"/>
      <c r="Y167" s="4"/>
      <c r="Z167">
        <f t="shared" si="24"/>
        <v>127.5</v>
      </c>
      <c r="AA167">
        <f t="shared" si="25"/>
        <v>0</v>
      </c>
      <c r="AB167">
        <f t="shared" si="26"/>
        <v>0</v>
      </c>
      <c r="AC167" s="27"/>
      <c r="AD167">
        <f t="shared" si="27"/>
        <v>127.5</v>
      </c>
      <c r="AE167">
        <f t="shared" si="28"/>
        <v>127.5</v>
      </c>
      <c r="AF167">
        <f t="shared" si="29"/>
        <v>127.5</v>
      </c>
      <c r="AG167" s="32"/>
      <c r="AH167">
        <f t="shared" si="30"/>
        <v>0</v>
      </c>
      <c r="AI167">
        <f t="shared" si="31"/>
        <v>0</v>
      </c>
      <c r="AJ167">
        <f t="shared" si="32"/>
        <v>0</v>
      </c>
      <c r="AK167" s="4"/>
      <c r="AL167">
        <f>SQRT((2+(($AL$3+Table4[[#This Row],[Red]])/2)/256)*($AL$3-Table4[[#This Row],[Red]])^2 + 4*($AM$3-Table4[[#This Row],[Green]])^2 + (2+(255-(($AL$3+Table4[[#This Row],[Red]])/2))/256 )*($AN$3-Table4[[#This Row],[Blue]])^2)</f>
        <v>398.03670527980205</v>
      </c>
      <c r="AM167">
        <f>SQRT((2+(($AO$3+Table4[[#This Row],[Red2]])/2)/256)*($AO$3-Table4[[#This Row],[Red2]])^2 + 4*($AP$3-Table4[[#This Row],[Green2]])^2 + (2+(255-(($AO$3+Table4[[#This Row],[Red2]])/2))/256 )*($AQ$3-Table4[[#This Row],[Blue2]])^2)</f>
        <v>329.38924898021492</v>
      </c>
      <c r="AN167">
        <f>SQRT(Table4[[#This Row],[diffPrimary]]^2+Table4[[#This Row],[diffSecondary]]^2)</f>
        <v>516.6531680864349</v>
      </c>
      <c r="AO167" s="2">
        <f>SQRT((2+(($AL$3+Table4[[#This Row],[Red2]])/2)/256)*($AL$3-Table4[[#This Row],[Red2]])^2 + 4*($AM$3-Table4[[#This Row],[Green2]])^2 + (2+(255-(($AL$3+Table4[[#This Row],[Red2]])/2))/256 )*($AN$3-Table4[[#This Row],[Blue2]])^2)</f>
        <v>291.77941421988635</v>
      </c>
      <c r="AP167" s="2">
        <f>SQRT((2+(($AO$3+Table4[[#This Row],[Red]])/2)/256)*($AO$3-Table4[[#This Row],[Red]])^2 + 4*($AP$3-Table4[[#This Row],[Green]])^2 + (2+(255-(($AO$3+Table4[[#This Row],[Red]])/2))/256 )*($AQ$3-Table4[[#This Row],[Blue]])^2)</f>
        <v>235.79413276601053</v>
      </c>
      <c r="AQ167" s="2">
        <f>SQRT(Table4[[#This Row],[diffPrimary2]]^2+Table4[[#This Row],[diffSecondary2]]^2)</f>
        <v>375.14543794290637</v>
      </c>
      <c r="AR167" s="786">
        <f>MIN(Table4[[#This Row],[MinOrig]],Table4[[#This Row],[MinSwap]])</f>
        <v>375.14543794290637</v>
      </c>
      <c r="AS167" s="2">
        <v>79.7551061257209</v>
      </c>
      <c r="AX167" s="4"/>
    </row>
    <row r="168" spans="1:50" x14ac:dyDescent="0.25">
      <c r="A168" t="s">
        <v>150</v>
      </c>
      <c r="B168">
        <v>0</v>
      </c>
      <c r="C168">
        <v>90</v>
      </c>
      <c r="D168">
        <v>60</v>
      </c>
      <c r="E168" s="345"/>
      <c r="F168">
        <v>210</v>
      </c>
      <c r="G168">
        <v>210</v>
      </c>
      <c r="H168">
        <v>210</v>
      </c>
      <c r="I168" s="346"/>
      <c r="J168">
        <v>0</v>
      </c>
      <c r="K168">
        <v>0</v>
      </c>
      <c r="L168">
        <v>0</v>
      </c>
      <c r="M168" s="4"/>
      <c r="Q168" s="4"/>
      <c r="U168" s="4"/>
      <c r="Y168" s="4"/>
      <c r="Z168">
        <f t="shared" si="24"/>
        <v>0</v>
      </c>
      <c r="AA168">
        <f t="shared" si="25"/>
        <v>127.5</v>
      </c>
      <c r="AB168">
        <f t="shared" si="26"/>
        <v>0</v>
      </c>
      <c r="AC168" s="34"/>
      <c r="AD168">
        <f t="shared" si="27"/>
        <v>255</v>
      </c>
      <c r="AE168">
        <f t="shared" si="28"/>
        <v>255</v>
      </c>
      <c r="AF168">
        <f t="shared" si="29"/>
        <v>255</v>
      </c>
      <c r="AG168" s="3"/>
      <c r="AH168">
        <f t="shared" si="30"/>
        <v>0</v>
      </c>
      <c r="AI168">
        <f t="shared" si="31"/>
        <v>0</v>
      </c>
      <c r="AJ168">
        <f t="shared" si="32"/>
        <v>0</v>
      </c>
      <c r="AK168" s="4"/>
      <c r="AL168">
        <f>SQRT((2+(($AL$3+Table4[[#This Row],[Red]])/2)/256)*($AL$3-Table4[[#This Row],[Red]])^2 + 4*($AM$3-Table4[[#This Row],[Green]])^2 + (2+(255-(($AL$3+Table4[[#This Row],[Red]])/2))/256 )*($AN$3-Table4[[#This Row],[Blue]])^2)</f>
        <v>473.63326191988989</v>
      </c>
      <c r="AM168">
        <f>SQRT((2+(($AO$3+Table4[[#This Row],[Red2]])/2)/256)*($AO$3-Table4[[#This Row],[Red2]])^2 + 4*($AP$3-Table4[[#This Row],[Green2]])^2 + (2+(255-(($AO$3+Table4[[#This Row],[Red2]])/2))/256 )*($AQ$3-Table4[[#This Row],[Blue2]])^2)</f>
        <v>629.86326641184598</v>
      </c>
      <c r="AN168">
        <f>SQRT(Table4[[#This Row],[diffPrimary]]^2+Table4[[#This Row],[diffSecondary]]^2)</f>
        <v>788.07119042119234</v>
      </c>
      <c r="AO168" s="2">
        <f>SQRT((2+(($AL$3+Table4[[#This Row],[Red2]])/2)/256)*($AL$3-Table4[[#This Row],[Red2]])^2 + 4*($AM$3-Table4[[#This Row],[Green2]])^2 + (2+(255-(($AL$3+Table4[[#This Row],[Red2]])/2))/256 )*($AN$3-Table4[[#This Row],[Blue2]])^2)</f>
        <v>313.15345741445202</v>
      </c>
      <c r="AP168" s="2">
        <f>SQRT((2+(($AO$3+Table4[[#This Row],[Red]])/2)/256)*($AO$3-Table4[[#This Row],[Red]])^2 + 4*($AP$3-Table4[[#This Row],[Green]])^2 + (2+(255-(($AO$3+Table4[[#This Row],[Red]])/2))/256 )*($AQ$3-Table4[[#This Row],[Blue]])^2)</f>
        <v>207.81226503746115</v>
      </c>
      <c r="AQ168" s="2">
        <f>SQRT(Table4[[#This Row],[diffPrimary2]]^2+Table4[[#This Row],[diffSecondary2]]^2)</f>
        <v>375.83377361624247</v>
      </c>
      <c r="AR168" s="786">
        <f>MIN(Table4[[#This Row],[MinOrig]],Table4[[#This Row],[MinSwap]])</f>
        <v>375.83377361624247</v>
      </c>
      <c r="AS168" s="2">
        <v>52.092990771312003</v>
      </c>
      <c r="AX168" s="4"/>
    </row>
    <row r="169" spans="1:50" x14ac:dyDescent="0.25">
      <c r="A169" t="s">
        <v>196</v>
      </c>
      <c r="B169">
        <v>136</v>
      </c>
      <c r="C169">
        <v>0</v>
      </c>
      <c r="D169">
        <v>35</v>
      </c>
      <c r="E169" s="403"/>
      <c r="F169">
        <v>142</v>
      </c>
      <c r="G169">
        <v>144</v>
      </c>
      <c r="H169">
        <v>147</v>
      </c>
      <c r="I169" s="404"/>
      <c r="J169">
        <v>0</v>
      </c>
      <c r="K169">
        <v>0</v>
      </c>
      <c r="L169">
        <v>0</v>
      </c>
      <c r="M169" s="4"/>
      <c r="Q169" s="4"/>
      <c r="U169" s="4"/>
      <c r="Y169" s="4"/>
      <c r="Z169">
        <f t="shared" si="24"/>
        <v>127.5</v>
      </c>
      <c r="AA169">
        <f t="shared" si="25"/>
        <v>0</v>
      </c>
      <c r="AB169">
        <f t="shared" si="26"/>
        <v>0</v>
      </c>
      <c r="AC169" s="27"/>
      <c r="AD169">
        <f t="shared" si="27"/>
        <v>127.5</v>
      </c>
      <c r="AE169">
        <f t="shared" si="28"/>
        <v>127.5</v>
      </c>
      <c r="AF169">
        <f t="shared" si="29"/>
        <v>127.5</v>
      </c>
      <c r="AG169" s="32"/>
      <c r="AH169">
        <f t="shared" si="30"/>
        <v>0</v>
      </c>
      <c r="AI169">
        <f t="shared" si="31"/>
        <v>0</v>
      </c>
      <c r="AJ169">
        <f t="shared" si="32"/>
        <v>0</v>
      </c>
      <c r="AK169" s="4"/>
      <c r="AL169">
        <f>SQRT((2+(($AL$3+Table4[[#This Row],[Red]])/2)/256)*($AL$3-Table4[[#This Row],[Red]])^2 + 4*($AM$3-Table4[[#This Row],[Green]])^2 + (2+(255-(($AL$3+Table4[[#This Row],[Red]])/2))/256 )*($AN$3-Table4[[#This Row],[Blue]])^2)</f>
        <v>458.22600779391604</v>
      </c>
      <c r="AM169">
        <f>SQRT((2+(($AO$3+Table4[[#This Row],[Red2]])/2)/256)*($AO$3-Table4[[#This Row],[Red2]])^2 + 4*($AP$3-Table4[[#This Row],[Green2]])^2 + (2+(255-(($AO$3+Table4[[#This Row],[Red2]])/2))/256 )*($AQ$3-Table4[[#This Row],[Blue2]])^2)</f>
        <v>433.14411934712911</v>
      </c>
      <c r="AN169">
        <f>SQRT(Table4[[#This Row],[diffPrimary]]^2+Table4[[#This Row],[diffSecondary]]^2)</f>
        <v>630.54333898927996</v>
      </c>
      <c r="AO169" s="2">
        <f>SQRT((2+(($AL$3+Table4[[#This Row],[Red2]])/2)/256)*($AL$3-Table4[[#This Row],[Red2]])^2 + 4*($AM$3-Table4[[#This Row],[Green2]])^2 + (2+(255-(($AL$3+Table4[[#This Row],[Red2]])/2))/256 )*($AN$3-Table4[[#This Row],[Blue2]])^2)</f>
        <v>313.54447327093806</v>
      </c>
      <c r="AP169" s="2">
        <f>SQRT((2+(($AO$3+Table4[[#This Row],[Red]])/2)/256)*($AO$3-Table4[[#This Row],[Red]])^2 + 4*($AP$3-Table4[[#This Row],[Green]])^2 + (2+(255-(($AO$3+Table4[[#This Row],[Red]])/2))/256 )*($AQ$3-Table4[[#This Row],[Blue]])^2)</f>
        <v>212.72006068716226</v>
      </c>
      <c r="AQ169" s="2">
        <f>SQRT(Table4[[#This Row],[diffPrimary2]]^2+Table4[[#This Row],[diffSecondary2]]^2)</f>
        <v>378.89307322449162</v>
      </c>
      <c r="AR169" s="786">
        <f>MIN(Table4[[#This Row],[MinOrig]],Table4[[#This Row],[MinSwap]])</f>
        <v>378.89307322449162</v>
      </c>
      <c r="AS169" s="2">
        <v>72.489869981949894</v>
      </c>
      <c r="AX169" s="4"/>
    </row>
    <row r="170" spans="1:50" x14ac:dyDescent="0.25">
      <c r="A170" t="s">
        <v>216</v>
      </c>
      <c r="B170">
        <v>0</v>
      </c>
      <c r="C170">
        <v>48</v>
      </c>
      <c r="D170">
        <v>87</v>
      </c>
      <c r="E170" s="267"/>
      <c r="F170">
        <v>124</v>
      </c>
      <c r="G170">
        <v>135</v>
      </c>
      <c r="H170">
        <v>142</v>
      </c>
      <c r="I170" s="187"/>
      <c r="J170">
        <v>146</v>
      </c>
      <c r="K170">
        <v>193</v>
      </c>
      <c r="L170">
        <v>233</v>
      </c>
      <c r="M170" s="434"/>
      <c r="Q170" s="4"/>
      <c r="U170" s="4"/>
      <c r="Y170" s="4"/>
      <c r="Z170">
        <f t="shared" si="24"/>
        <v>0</v>
      </c>
      <c r="AA170">
        <f t="shared" si="25"/>
        <v>0</v>
      </c>
      <c r="AB170">
        <f t="shared" si="26"/>
        <v>127.5</v>
      </c>
      <c r="AC170" s="26"/>
      <c r="AD170">
        <f t="shared" si="27"/>
        <v>127.5</v>
      </c>
      <c r="AE170">
        <f t="shared" si="28"/>
        <v>127.5</v>
      </c>
      <c r="AF170">
        <f t="shared" si="29"/>
        <v>127.5</v>
      </c>
      <c r="AG170" s="32"/>
      <c r="AH170">
        <f t="shared" si="30"/>
        <v>127.5</v>
      </c>
      <c r="AI170">
        <f t="shared" si="31"/>
        <v>255</v>
      </c>
      <c r="AJ170">
        <f t="shared" si="32"/>
        <v>255</v>
      </c>
      <c r="AK170" s="35"/>
      <c r="AL170">
        <f>SQRT((2+(($AL$3+Table4[[#This Row],[Red]])/2)/256)*($AL$3-Table4[[#This Row],[Red]])^2 + 4*($AM$3-Table4[[#This Row],[Green]])^2 + (2+(255-(($AL$3+Table4[[#This Row],[Red]])/2))/256 )*($AN$3-Table4[[#This Row],[Blue]])^2)</f>
        <v>529.09282252148341</v>
      </c>
      <c r="AM170">
        <f>SQRT((2+(($AO$3+Table4[[#This Row],[Red2]])/2)/256)*($AO$3-Table4[[#This Row],[Red2]])^2 + 4*($AP$3-Table4[[#This Row],[Green2]])^2 + (2+(255-(($AO$3+Table4[[#This Row],[Red2]])/2))/256 )*($AQ$3-Table4[[#This Row],[Blue2]])^2)</f>
        <v>403.6157090909619</v>
      </c>
      <c r="AN170">
        <f>SQRT(Table4[[#This Row],[diffPrimary]]^2+Table4[[#This Row],[diffSecondary]]^2)</f>
        <v>665.46589354282457</v>
      </c>
      <c r="AO170" s="2">
        <f>SQRT((2+(($AL$3+Table4[[#This Row],[Red2]])/2)/256)*($AL$3-Table4[[#This Row],[Red2]])^2 + 4*($AM$3-Table4[[#This Row],[Green2]])^2 + (2+(255-(($AL$3+Table4[[#This Row],[Red2]])/2))/256 )*($AN$3-Table4[[#This Row],[Blue2]])^2)</f>
        <v>334.83176454284472</v>
      </c>
      <c r="AP170" s="2">
        <f>SQRT((2+(($AO$3+Table4[[#This Row],[Red]])/2)/256)*($AO$3-Table4[[#This Row],[Red]])^2 + 4*($AP$3-Table4[[#This Row],[Green]])^2 + (2+(255-(($AO$3+Table4[[#This Row],[Red]])/2))/256 )*($AQ$3-Table4[[#This Row],[Blue]])^2)</f>
        <v>178.58732764042918</v>
      </c>
      <c r="AQ170" s="2">
        <f>SQRT(Table4[[#This Row],[diffPrimary2]]^2+Table4[[#This Row],[diffSecondary2]]^2)</f>
        <v>379.48088771455275</v>
      </c>
      <c r="AR170" s="786">
        <f>MIN(Table4[[#This Row],[MinOrig]],Table4[[#This Row],[MinSwap]])</f>
        <v>379.48088771455275</v>
      </c>
      <c r="AS170" s="2">
        <v>30.410408888240902</v>
      </c>
      <c r="AX170" s="4"/>
    </row>
    <row r="171" spans="1:50" x14ac:dyDescent="0.25">
      <c r="A171" t="s">
        <v>214</v>
      </c>
      <c r="B171">
        <v>132</v>
      </c>
      <c r="C171">
        <v>23</v>
      </c>
      <c r="D171">
        <v>25</v>
      </c>
      <c r="E171" s="430"/>
      <c r="F171">
        <v>253</v>
      </c>
      <c r="G171">
        <v>249</v>
      </c>
      <c r="H171">
        <v>216</v>
      </c>
      <c r="I171" s="431"/>
      <c r="M171" s="4"/>
      <c r="Q171" s="4"/>
      <c r="U171" s="4"/>
      <c r="Y171" s="4"/>
      <c r="Z171">
        <f t="shared" si="24"/>
        <v>127.5</v>
      </c>
      <c r="AA171">
        <f t="shared" si="25"/>
        <v>0</v>
      </c>
      <c r="AB171">
        <f t="shared" si="26"/>
        <v>0</v>
      </c>
      <c r="AC171" s="27"/>
      <c r="AD171">
        <f t="shared" si="27"/>
        <v>255</v>
      </c>
      <c r="AE171">
        <f t="shared" si="28"/>
        <v>255</v>
      </c>
      <c r="AF171">
        <f t="shared" si="29"/>
        <v>255</v>
      </c>
      <c r="AG171" s="3"/>
      <c r="AH171">
        <f t="shared" si="30"/>
        <v>0</v>
      </c>
      <c r="AI171">
        <f t="shared" si="31"/>
        <v>0</v>
      </c>
      <c r="AJ171">
        <f t="shared" si="32"/>
        <v>0</v>
      </c>
      <c r="AK171" s="4"/>
      <c r="AL171">
        <f>SQRT((2+(($AL$3+Table4[[#This Row],[Red]])/2)/256)*($AL$3-Table4[[#This Row],[Red]])^2 + 4*($AM$3-Table4[[#This Row],[Green]])^2 + (2+(255-(($AL$3+Table4[[#This Row],[Red]])/2))/256 )*($AN$3-Table4[[#This Row],[Blue]])^2)</f>
        <v>419.03405943759515</v>
      </c>
      <c r="AM171">
        <f>SQRT((2+(($AO$3+Table4[[#This Row],[Red2]])/2)/256)*($AO$3-Table4[[#This Row],[Red2]])^2 + 4*($AP$3-Table4[[#This Row],[Green2]])^2 + (2+(255-(($AO$3+Table4[[#This Row],[Red2]])/2))/256 )*($AQ$3-Table4[[#This Row],[Blue2]])^2)</f>
        <v>724.14264635196355</v>
      </c>
      <c r="AN171">
        <f>SQRT(Table4[[#This Row],[diffPrimary]]^2+Table4[[#This Row],[diffSecondary]]^2)</f>
        <v>836.64336203329492</v>
      </c>
      <c r="AO171" s="2">
        <f>SQRT((2+(($AL$3+Table4[[#This Row],[Red2]])/2)/256)*($AL$3-Table4[[#This Row],[Red2]])^2 + 4*($AM$3-Table4[[#This Row],[Green2]])^2 + (2+(255-(($AL$3+Table4[[#This Row],[Red2]])/2))/256 )*($AN$3-Table4[[#This Row],[Blue2]])^2)</f>
        <v>318.19839526622383</v>
      </c>
      <c r="AP171" s="2">
        <f>SQRT((2+(($AO$3+Table4[[#This Row],[Red]])/2)/256)*($AO$3-Table4[[#This Row],[Red]])^2 + 4*($AP$3-Table4[[#This Row],[Green]])^2 + (2+(255-(($AO$3+Table4[[#This Row],[Red]])/2))/256 )*($AQ$3-Table4[[#This Row],[Blue]])^2)</f>
        <v>207.76802155589294</v>
      </c>
      <c r="AQ171" s="2">
        <f>SQRT(Table4[[#This Row],[diffPrimary2]]^2+Table4[[#This Row],[diffSecondary2]]^2)</f>
        <v>380.02338024291345</v>
      </c>
      <c r="AR171" s="786">
        <f>MIN(Table4[[#This Row],[MinOrig]],Table4[[#This Row],[MinSwap]])</f>
        <v>380.02338024291345</v>
      </c>
      <c r="AS171" s="2">
        <v>76.0798562777954</v>
      </c>
      <c r="AX171" s="4"/>
    </row>
    <row r="172" spans="1:50" x14ac:dyDescent="0.25">
      <c r="A172" t="s">
        <v>288</v>
      </c>
      <c r="B172">
        <v>124</v>
      </c>
      <c r="C172">
        <v>24</v>
      </c>
      <c r="D172">
        <v>62</v>
      </c>
      <c r="E172" s="537"/>
      <c r="F172">
        <v>157</v>
      </c>
      <c r="G172">
        <v>166</v>
      </c>
      <c r="H172">
        <v>171</v>
      </c>
      <c r="I172" s="538"/>
      <c r="J172">
        <v>255</v>
      </c>
      <c r="K172">
        <v>255</v>
      </c>
      <c r="L172">
        <v>255</v>
      </c>
      <c r="M172" s="3"/>
      <c r="Q172" s="4"/>
      <c r="U172" s="4"/>
      <c r="Y172" s="4"/>
      <c r="Z172">
        <f t="shared" si="24"/>
        <v>127.5</v>
      </c>
      <c r="AA172">
        <f t="shared" si="25"/>
        <v>0</v>
      </c>
      <c r="AB172">
        <f t="shared" si="26"/>
        <v>0</v>
      </c>
      <c r="AC172" s="27"/>
      <c r="AD172">
        <f t="shared" si="27"/>
        <v>127.5</v>
      </c>
      <c r="AE172">
        <f t="shared" si="28"/>
        <v>127.5</v>
      </c>
      <c r="AF172">
        <f t="shared" si="29"/>
        <v>127.5</v>
      </c>
      <c r="AG172" s="32"/>
      <c r="AH172">
        <f t="shared" si="30"/>
        <v>255</v>
      </c>
      <c r="AI172">
        <f t="shared" si="31"/>
        <v>255</v>
      </c>
      <c r="AJ172">
        <f t="shared" si="32"/>
        <v>255</v>
      </c>
      <c r="AK172" s="3"/>
      <c r="AL172">
        <f>SQRT((2+(($AL$3+Table4[[#This Row],[Red]])/2)/256)*($AL$3-Table4[[#This Row],[Red]])^2 + 4*($AM$3-Table4[[#This Row],[Green]])^2 + (2+(255-(($AL$3+Table4[[#This Row],[Red]])/2))/256 )*($AN$3-Table4[[#This Row],[Blue]])^2)</f>
        <v>432.13503161266038</v>
      </c>
      <c r="AM172">
        <f>SQRT((2+(($AO$3+Table4[[#This Row],[Red2]])/2)/256)*($AO$3-Table4[[#This Row],[Red2]])^2 + 4*($AP$3-Table4[[#This Row],[Green2]])^2 + (2+(255-(($AO$3+Table4[[#This Row],[Red2]])/2))/256 )*($AQ$3-Table4[[#This Row],[Blue2]])^2)</f>
        <v>495.70422995345723</v>
      </c>
      <c r="AN172">
        <f>SQRT(Table4[[#This Row],[diffPrimary]]^2+Table4[[#This Row],[diffSecondary]]^2)</f>
        <v>657.61947138191169</v>
      </c>
      <c r="AO172" s="2">
        <f>SQRT((2+(($AL$3+Table4[[#This Row],[Red2]])/2)/256)*($AL$3-Table4[[#This Row],[Red2]])^2 + 4*($AM$3-Table4[[#This Row],[Green2]])^2 + (2+(255-(($AL$3+Table4[[#This Row],[Red2]])/2))/256 )*($AN$3-Table4[[#This Row],[Blue2]])^2)</f>
        <v>311.60733127808464</v>
      </c>
      <c r="AP172" s="2">
        <f>SQRT((2+(($AO$3+Table4[[#This Row],[Red]])/2)/256)*($AO$3-Table4[[#This Row],[Red]])^2 + 4*($AP$3-Table4[[#This Row],[Green]])^2 + (2+(255-(($AO$3+Table4[[#This Row],[Red]])/2))/256 )*($AQ$3-Table4[[#This Row],[Blue]])^2)</f>
        <v>217.63706169905896</v>
      </c>
      <c r="AQ172" s="2">
        <f>SQRT(Table4[[#This Row],[diffPrimary2]]^2+Table4[[#This Row],[diffSecondary2]]^2)</f>
        <v>380.08554238651328</v>
      </c>
      <c r="AR172" s="786">
        <f>MIN(Table4[[#This Row],[MinOrig]],Table4[[#This Row],[MinSwap]])</f>
        <v>380.08554238651328</v>
      </c>
      <c r="AS172" s="2">
        <v>40.381916977156997</v>
      </c>
      <c r="AX172" s="4"/>
    </row>
    <row r="173" spans="1:50" x14ac:dyDescent="0.25">
      <c r="A173" t="s">
        <v>186</v>
      </c>
      <c r="B173">
        <v>0</v>
      </c>
      <c r="C173">
        <v>46</v>
      </c>
      <c r="D173">
        <v>98</v>
      </c>
      <c r="E173" s="387"/>
      <c r="F173">
        <v>128</v>
      </c>
      <c r="G173">
        <v>127</v>
      </c>
      <c r="H173">
        <v>132</v>
      </c>
      <c r="I173" s="388"/>
      <c r="M173" s="4"/>
      <c r="Q173" s="4"/>
      <c r="U173" s="4"/>
      <c r="Y173" s="4"/>
      <c r="Z173">
        <f t="shared" si="24"/>
        <v>0</v>
      </c>
      <c r="AA173">
        <f t="shared" si="25"/>
        <v>0</v>
      </c>
      <c r="AB173">
        <f t="shared" si="26"/>
        <v>127.5</v>
      </c>
      <c r="AC173" s="26"/>
      <c r="AD173">
        <f t="shared" si="27"/>
        <v>127.5</v>
      </c>
      <c r="AE173">
        <f t="shared" si="28"/>
        <v>127.5</v>
      </c>
      <c r="AF173">
        <f t="shared" si="29"/>
        <v>127.5</v>
      </c>
      <c r="AG173" s="32"/>
      <c r="AH173">
        <f t="shared" si="30"/>
        <v>0</v>
      </c>
      <c r="AI173">
        <f t="shared" si="31"/>
        <v>0</v>
      </c>
      <c r="AJ173">
        <f t="shared" si="32"/>
        <v>0</v>
      </c>
      <c r="AK173" s="4"/>
      <c r="AL173">
        <f>SQRT((2+(($AL$3+Table4[[#This Row],[Red]])/2)/256)*($AL$3-Table4[[#This Row],[Red]])^2 + 4*($AM$3-Table4[[#This Row],[Green]])^2 + (2+(255-(($AL$3+Table4[[#This Row],[Red]])/2))/256 )*($AN$3-Table4[[#This Row],[Blue]])^2)</f>
        <v>536.23757816323825</v>
      </c>
      <c r="AM173">
        <f>SQRT((2+(($AO$3+Table4[[#This Row],[Red2]])/2)/256)*($AO$3-Table4[[#This Row],[Red2]])^2 + 4*($AP$3-Table4[[#This Row],[Green2]])^2 + (2+(255-(($AO$3+Table4[[#This Row],[Red2]])/2))/256 )*($AQ$3-Table4[[#This Row],[Blue2]])^2)</f>
        <v>386.30032034674781</v>
      </c>
      <c r="AN173">
        <f>SQRT(Table4[[#This Row],[diffPrimary]]^2+Table4[[#This Row],[diffSecondary]]^2)</f>
        <v>660.89233444970068</v>
      </c>
      <c r="AO173" s="2">
        <f>SQRT((2+(($AL$3+Table4[[#This Row],[Red2]])/2)/256)*($AL$3-Table4[[#This Row],[Red2]])^2 + 4*($AM$3-Table4[[#This Row],[Green2]])^2 + (2+(255-(($AL$3+Table4[[#This Row],[Red2]])/2))/256 )*($AN$3-Table4[[#This Row],[Blue2]])^2)</f>
        <v>328.37359333063768</v>
      </c>
      <c r="AP173" s="2">
        <f>SQRT((2+(($AO$3+Table4[[#This Row],[Red]])/2)/256)*($AO$3-Table4[[#This Row],[Red]])^2 + 4*($AP$3-Table4[[#This Row],[Green]])^2 + (2+(255-(($AO$3+Table4[[#This Row],[Red]])/2))/256 )*($AQ$3-Table4[[#This Row],[Blue]])^2)</f>
        <v>192.97275552522953</v>
      </c>
      <c r="AQ173" s="2">
        <f>SQRT(Table4[[#This Row],[diffPrimary2]]^2+Table4[[#This Row],[diffSecondary2]]^2)</f>
        <v>380.8775409129226</v>
      </c>
      <c r="AR173" s="786">
        <f>MIN(Table4[[#This Row],[MinOrig]],Table4[[#This Row],[MinSwap]])</f>
        <v>380.8775409129226</v>
      </c>
      <c r="AS173" s="2">
        <v>30.410408888240902</v>
      </c>
      <c r="AX173" s="4"/>
    </row>
    <row r="174" spans="1:50" x14ac:dyDescent="0.25">
      <c r="A174" t="s">
        <v>113</v>
      </c>
      <c r="B174">
        <v>28</v>
      </c>
      <c r="C174">
        <v>78</v>
      </c>
      <c r="D174">
        <v>157</v>
      </c>
      <c r="E174" s="284"/>
      <c r="F174">
        <v>243</v>
      </c>
      <c r="G174">
        <v>101</v>
      </c>
      <c r="H174">
        <v>44</v>
      </c>
      <c r="I174" s="285"/>
      <c r="J174">
        <v>255</v>
      </c>
      <c r="K174">
        <v>255</v>
      </c>
      <c r="L174">
        <v>255</v>
      </c>
      <c r="M174" s="3"/>
      <c r="Q174" s="4"/>
      <c r="U174" s="4"/>
      <c r="Y174" s="4"/>
      <c r="Z174">
        <f t="shared" si="24"/>
        <v>0</v>
      </c>
      <c r="AA174">
        <f t="shared" si="25"/>
        <v>127.5</v>
      </c>
      <c r="AB174">
        <f t="shared" si="26"/>
        <v>127.5</v>
      </c>
      <c r="AC174" s="24"/>
      <c r="AD174">
        <f t="shared" si="27"/>
        <v>255</v>
      </c>
      <c r="AE174">
        <f t="shared" si="28"/>
        <v>127.5</v>
      </c>
      <c r="AF174">
        <f t="shared" si="29"/>
        <v>0</v>
      </c>
      <c r="AG174" s="28"/>
      <c r="AH174">
        <f t="shared" si="30"/>
        <v>255</v>
      </c>
      <c r="AI174">
        <f t="shared" si="31"/>
        <v>255</v>
      </c>
      <c r="AJ174">
        <f t="shared" si="32"/>
        <v>255</v>
      </c>
      <c r="AK174" s="3"/>
      <c r="AL174">
        <f>SQRT((2+(($AL$3+Table4[[#This Row],[Red]])/2)/256)*($AL$3-Table4[[#This Row],[Red]])^2 + 4*($AM$3-Table4[[#This Row],[Green]])^2 + (2+(255-(($AL$3+Table4[[#This Row],[Red]])/2))/256 )*($AN$3-Table4[[#This Row],[Blue]])^2)</f>
        <v>506.24323683754039</v>
      </c>
      <c r="AM174">
        <f>SQRT((2+(($AO$3+Table4[[#This Row],[Red2]])/2)/256)*($AO$3-Table4[[#This Row],[Red2]])^2 + 4*($AP$3-Table4[[#This Row],[Green2]])^2 + (2+(255-(($AO$3+Table4[[#This Row],[Red2]])/2))/256 )*($AQ$3-Table4[[#This Row],[Blue2]])^2)</f>
        <v>437.9598186299458</v>
      </c>
      <c r="AN174">
        <f>SQRT(Table4[[#This Row],[diffPrimary]]^2+Table4[[#This Row],[diffSecondary]]^2)</f>
        <v>669.3960095325674</v>
      </c>
      <c r="AO174" s="2">
        <f>SQRT((2+(($AL$3+Table4[[#This Row],[Red2]])/2)/256)*($AL$3-Table4[[#This Row],[Red2]])^2 + 4*($AM$3-Table4[[#This Row],[Green2]])^2 + (2+(255-(($AL$3+Table4[[#This Row],[Red2]])/2))/256 )*($AN$3-Table4[[#This Row],[Blue2]])^2)</f>
        <v>218.19586957593859</v>
      </c>
      <c r="AP174" s="2">
        <f>SQRT((2+(($AO$3+Table4[[#This Row],[Red]])/2)/256)*($AO$3-Table4[[#This Row],[Red]])^2 + 4*($AP$3-Table4[[#This Row],[Green]])^2 + (2+(255-(($AO$3+Table4[[#This Row],[Red]])/2))/256 )*($AQ$3-Table4[[#This Row],[Blue]])^2)</f>
        <v>313.76678864444847</v>
      </c>
      <c r="AQ174" s="2">
        <f>SQRT(Table4[[#This Row],[diffPrimary2]]^2+Table4[[#This Row],[diffSecondary2]]^2)</f>
        <v>382.17670671595096</v>
      </c>
      <c r="AR174" s="786">
        <f>MIN(Table4[[#This Row],[MinOrig]],Table4[[#This Row],[MinSwap]])</f>
        <v>382.17670671595096</v>
      </c>
      <c r="AS174" s="2">
        <v>65.4922615896336</v>
      </c>
      <c r="AX174" s="4"/>
    </row>
    <row r="175" spans="1:50" x14ac:dyDescent="0.25">
      <c r="A175" t="s">
        <v>279</v>
      </c>
      <c r="B175">
        <v>77</v>
      </c>
      <c r="C175">
        <v>25</v>
      </c>
      <c r="D175">
        <v>121</v>
      </c>
      <c r="E175" s="527"/>
      <c r="F175">
        <v>164</v>
      </c>
      <c r="G175">
        <v>189</v>
      </c>
      <c r="H175">
        <v>173</v>
      </c>
      <c r="I175" s="528"/>
      <c r="J175">
        <v>255</v>
      </c>
      <c r="K175">
        <v>255</v>
      </c>
      <c r="L175">
        <v>255</v>
      </c>
      <c r="M175" s="3"/>
      <c r="Q175" s="4"/>
      <c r="U175" s="4"/>
      <c r="Y175" s="4"/>
      <c r="Z175">
        <f t="shared" si="24"/>
        <v>127.5</v>
      </c>
      <c r="AA175">
        <f t="shared" si="25"/>
        <v>0</v>
      </c>
      <c r="AB175">
        <f t="shared" si="26"/>
        <v>127.5</v>
      </c>
      <c r="AC175" s="30"/>
      <c r="AD175">
        <f t="shared" si="27"/>
        <v>127.5</v>
      </c>
      <c r="AE175">
        <f t="shared" si="28"/>
        <v>127.5</v>
      </c>
      <c r="AF175">
        <f t="shared" si="29"/>
        <v>127.5</v>
      </c>
      <c r="AG175" s="32"/>
      <c r="AH175">
        <f t="shared" si="30"/>
        <v>255</v>
      </c>
      <c r="AI175">
        <f t="shared" si="31"/>
        <v>255</v>
      </c>
      <c r="AJ175">
        <f t="shared" si="32"/>
        <v>255</v>
      </c>
      <c r="AK175" s="3"/>
      <c r="AL175">
        <f>SQRT((2+(($AL$3+Table4[[#This Row],[Red]])/2)/256)*($AL$3-Table4[[#This Row],[Red]])^2 + 4*($AM$3-Table4[[#This Row],[Green]])^2 + (2+(255-(($AL$3+Table4[[#This Row],[Red]])/2))/256 )*($AN$3-Table4[[#This Row],[Blue]])^2)</f>
        <v>497.8806372076042</v>
      </c>
      <c r="AM175">
        <f>SQRT((2+(($AO$3+Table4[[#This Row],[Red2]])/2)/256)*($AO$3-Table4[[#This Row],[Red2]])^2 + 4*($AP$3-Table4[[#This Row],[Green2]])^2 + (2+(255-(($AO$3+Table4[[#This Row],[Red2]])/2))/256 )*($AQ$3-Table4[[#This Row],[Blue2]])^2)</f>
        <v>534.20462561760917</v>
      </c>
      <c r="AN175">
        <f>SQRT(Table4[[#This Row],[diffPrimary]]^2+Table4[[#This Row],[diffSecondary]]^2)</f>
        <v>730.24633579190254</v>
      </c>
      <c r="AO175" s="2">
        <f>SQRT((2+(($AL$3+Table4[[#This Row],[Red2]])/2)/256)*($AL$3-Table4[[#This Row],[Red2]])^2 + 4*($AM$3-Table4[[#This Row],[Green2]])^2 + (2+(255-(($AL$3+Table4[[#This Row],[Red2]])/2))/256 )*($AN$3-Table4[[#This Row],[Blue2]])^2)</f>
        <v>299.23276240035949</v>
      </c>
      <c r="AP175" s="2">
        <f>SQRT((2+(($AO$3+Table4[[#This Row],[Red]])/2)/256)*($AO$3-Table4[[#This Row],[Red]])^2 + 4*($AP$3-Table4[[#This Row],[Green]])^2 + (2+(255-(($AO$3+Table4[[#This Row],[Red]])/2))/256 )*($AQ$3-Table4[[#This Row],[Blue]])^2)</f>
        <v>238.56572567900443</v>
      </c>
      <c r="AQ175" s="2">
        <f>SQRT(Table4[[#This Row],[diffPrimary2]]^2+Table4[[#This Row],[diffSecondary2]]^2)</f>
        <v>382.69289458062843</v>
      </c>
      <c r="AR175" s="786">
        <f>MIN(Table4[[#This Row],[MinOrig]],Table4[[#This Row],[MinSwap]])</f>
        <v>382.69289458062843</v>
      </c>
      <c r="AS175" s="2">
        <v>65.228863913914694</v>
      </c>
      <c r="AX175" s="4"/>
    </row>
    <row r="176" spans="1:50" x14ac:dyDescent="0.25">
      <c r="A176" t="s">
        <v>295</v>
      </c>
      <c r="B176">
        <v>138</v>
      </c>
      <c r="C176">
        <v>36</v>
      </c>
      <c r="D176">
        <v>50</v>
      </c>
      <c r="E176" s="549"/>
      <c r="F176">
        <v>179</v>
      </c>
      <c r="G176">
        <v>181</v>
      </c>
      <c r="H176">
        <v>184</v>
      </c>
      <c r="I176" s="13"/>
      <c r="J176">
        <v>255</v>
      </c>
      <c r="K176">
        <v>255</v>
      </c>
      <c r="L176">
        <v>255</v>
      </c>
      <c r="M176" s="3"/>
      <c r="Q176" s="4"/>
      <c r="U176" s="4"/>
      <c r="Y176" s="4"/>
      <c r="Z176">
        <f t="shared" si="24"/>
        <v>127.5</v>
      </c>
      <c r="AA176">
        <f t="shared" si="25"/>
        <v>0</v>
      </c>
      <c r="AB176">
        <f t="shared" si="26"/>
        <v>0</v>
      </c>
      <c r="AC176" s="27"/>
      <c r="AD176">
        <f t="shared" si="27"/>
        <v>127.5</v>
      </c>
      <c r="AE176">
        <f t="shared" si="28"/>
        <v>127.5</v>
      </c>
      <c r="AF176">
        <f t="shared" si="29"/>
        <v>127.5</v>
      </c>
      <c r="AG176" s="32"/>
      <c r="AH176">
        <f t="shared" si="30"/>
        <v>255</v>
      </c>
      <c r="AI176">
        <f t="shared" si="31"/>
        <v>255</v>
      </c>
      <c r="AJ176">
        <f t="shared" si="32"/>
        <v>255</v>
      </c>
      <c r="AK176" s="3"/>
      <c r="AL176">
        <f>SQRT((2+(($AL$3+Table4[[#This Row],[Red]])/2)/256)*($AL$3-Table4[[#This Row],[Red]])^2 + 4*($AM$3-Table4[[#This Row],[Green]])^2 + (2+(255-(($AL$3+Table4[[#This Row],[Red]])/2))/256 )*($AN$3-Table4[[#This Row],[Blue]])^2)</f>
        <v>397.1154316009704</v>
      </c>
      <c r="AM176">
        <f>SQRT((2+(($AO$3+Table4[[#This Row],[Red2]])/2)/256)*($AO$3-Table4[[#This Row],[Red2]])^2 + 4*($AP$3-Table4[[#This Row],[Green2]])^2 + (2+(255-(($AO$3+Table4[[#This Row],[Red2]])/2))/256 )*($AQ$3-Table4[[#This Row],[Blue2]])^2)</f>
        <v>543.99191996239711</v>
      </c>
      <c r="AN176">
        <f>SQRT(Table4[[#This Row],[diffPrimary]]^2+Table4[[#This Row],[diffSecondary]]^2)</f>
        <v>673.51902348782994</v>
      </c>
      <c r="AO176" s="2">
        <f>SQRT((2+(($AL$3+Table4[[#This Row],[Red2]])/2)/256)*($AL$3-Table4[[#This Row],[Red2]])^2 + 4*($AM$3-Table4[[#This Row],[Green2]])^2 + (2+(255-(($AL$3+Table4[[#This Row],[Red2]])/2))/256 )*($AN$3-Table4[[#This Row],[Blue2]])^2)</f>
        <v>302.47241609773278</v>
      </c>
      <c r="AP176" s="2">
        <f>SQRT((2+(($AO$3+Table4[[#This Row],[Red]])/2)/256)*($AO$3-Table4[[#This Row],[Red]])^2 + 4*($AP$3-Table4[[#This Row],[Green]])^2 + (2+(255-(($AO$3+Table4[[#This Row],[Red]])/2))/256 )*($AQ$3-Table4[[#This Row],[Blue]])^2)</f>
        <v>234.99225386169647</v>
      </c>
      <c r="AQ176" s="2">
        <f>SQRT(Table4[[#This Row],[diffPrimary2]]^2+Table4[[#This Row],[diffSecondary2]]^2)</f>
        <v>383.02861756662514</v>
      </c>
      <c r="AR176" s="786">
        <f>MIN(Table4[[#This Row],[MinOrig]],Table4[[#This Row],[MinSwap]])</f>
        <v>383.02861756662514</v>
      </c>
      <c r="AS176" s="2">
        <v>58.157215534703901</v>
      </c>
      <c r="AX176" s="4"/>
    </row>
    <row r="177" spans="1:50" x14ac:dyDescent="0.25">
      <c r="A177" t="s">
        <v>59</v>
      </c>
      <c r="B177">
        <v>0</v>
      </c>
      <c r="C177">
        <v>14</v>
      </c>
      <c r="D177">
        <v>47</v>
      </c>
      <c r="E177" s="186"/>
      <c r="F177">
        <v>255</v>
      </c>
      <c r="G177">
        <v>255</v>
      </c>
      <c r="H177">
        <v>255</v>
      </c>
      <c r="I177" s="3"/>
      <c r="J177">
        <v>124</v>
      </c>
      <c r="K177">
        <v>135</v>
      </c>
      <c r="L177">
        <v>142</v>
      </c>
      <c r="M177" s="187"/>
      <c r="N177">
        <v>228</v>
      </c>
      <c r="O177">
        <v>0</v>
      </c>
      <c r="P177">
        <v>43</v>
      </c>
      <c r="Q177" s="121"/>
      <c r="R177">
        <v>162</v>
      </c>
      <c r="S177">
        <v>170</v>
      </c>
      <c r="T177">
        <v>173</v>
      </c>
      <c r="U177" s="188"/>
      <c r="V177">
        <v>164</v>
      </c>
      <c r="W177">
        <v>200</v>
      </c>
      <c r="X177">
        <v>225</v>
      </c>
      <c r="Y177" s="189"/>
      <c r="Z177">
        <f t="shared" si="24"/>
        <v>0</v>
      </c>
      <c r="AA177">
        <f t="shared" si="25"/>
        <v>0</v>
      </c>
      <c r="AB177">
        <f t="shared" si="26"/>
        <v>0</v>
      </c>
      <c r="AC177" s="4"/>
      <c r="AD177">
        <f t="shared" si="27"/>
        <v>255</v>
      </c>
      <c r="AE177">
        <f t="shared" si="28"/>
        <v>255</v>
      </c>
      <c r="AF177">
        <f t="shared" si="29"/>
        <v>255</v>
      </c>
      <c r="AG177" s="3"/>
      <c r="AH177">
        <f t="shared" si="30"/>
        <v>127.5</v>
      </c>
      <c r="AI177">
        <f t="shared" si="31"/>
        <v>127.5</v>
      </c>
      <c r="AJ177">
        <f t="shared" si="32"/>
        <v>127.5</v>
      </c>
      <c r="AK177" s="32"/>
      <c r="AL177">
        <f>SQRT((2+(($AL$3+Table4[[#This Row],[Red]])/2)/256)*($AL$3-Table4[[#This Row],[Red]])^2 + 4*($AM$3-Table4[[#This Row],[Green]])^2 + (2+(255-(($AL$3+Table4[[#This Row],[Red]])/2))/256 )*($AN$3-Table4[[#This Row],[Blue]])^2)</f>
        <v>560.24787692034135</v>
      </c>
      <c r="AM177">
        <f>SQRT((2+(($AO$3+Table4[[#This Row],[Red2]])/2)/256)*($AO$3-Table4[[#This Row],[Red2]])^2 + 4*($AP$3-Table4[[#This Row],[Green2]])^2 + (2+(255-(($AO$3+Table4[[#This Row],[Red2]])/2))/256 )*($AQ$3-Table4[[#This Row],[Blue2]])^2)</f>
        <v>764.83396635724148</v>
      </c>
      <c r="AN177">
        <f>SQRT(Table4[[#This Row],[diffPrimary]]^2+Table4[[#This Row],[diffSecondary]]^2)</f>
        <v>948.0763047811605</v>
      </c>
      <c r="AO177" s="2">
        <f>SQRT((2+(($AL$3+Table4[[#This Row],[Red2]])/2)/256)*($AL$3-Table4[[#This Row],[Red2]])^2 + 4*($AM$3-Table4[[#This Row],[Green2]])^2 + (2+(255-(($AL$3+Table4[[#This Row],[Red2]])/2))/256 )*($AN$3-Table4[[#This Row],[Blue2]])^2)</f>
        <v>374.23254802328461</v>
      </c>
      <c r="AP177" s="2">
        <f>SQRT((2+(($AO$3+Table4[[#This Row],[Red]])/2)/256)*($AO$3-Table4[[#This Row],[Red]])^2 + 4*($AP$3-Table4[[#This Row],[Green]])^2 + (2+(255-(($AO$3+Table4[[#This Row],[Red]])/2))/256 )*($AQ$3-Table4[[#This Row],[Blue]])^2)</f>
        <v>86.037033269110339</v>
      </c>
      <c r="AQ177" s="2">
        <f>SQRT(Table4[[#This Row],[diffPrimary2]]^2+Table4[[#This Row],[diffSecondary2]]^2)</f>
        <v>383.9952748325818</v>
      </c>
      <c r="AR177" s="786">
        <f>MIN(Table4[[#This Row],[MinOrig]],Table4[[#This Row],[MinSwap]])</f>
        <v>383.9952748325818</v>
      </c>
      <c r="AS177" s="2">
        <v>46.204918907514603</v>
      </c>
      <c r="AX177" s="4"/>
    </row>
    <row r="178" spans="1:50" x14ac:dyDescent="0.25">
      <c r="A178" t="s">
        <v>158</v>
      </c>
      <c r="B178">
        <v>224</v>
      </c>
      <c r="C178">
        <v>58</v>
      </c>
      <c r="D178">
        <v>62</v>
      </c>
      <c r="E178" s="234"/>
      <c r="F178">
        <v>255</v>
      </c>
      <c r="G178">
        <v>213</v>
      </c>
      <c r="H178">
        <v>32</v>
      </c>
      <c r="I178" s="351"/>
      <c r="J178">
        <v>255</v>
      </c>
      <c r="K178">
        <v>255</v>
      </c>
      <c r="L178">
        <v>255</v>
      </c>
      <c r="M178" s="3"/>
      <c r="N178">
        <v>0</v>
      </c>
      <c r="O178">
        <v>0</v>
      </c>
      <c r="P178">
        <v>0</v>
      </c>
      <c r="Q178" s="4"/>
      <c r="U178" s="4"/>
      <c r="Y178" s="4"/>
      <c r="Z178">
        <f t="shared" si="24"/>
        <v>255</v>
      </c>
      <c r="AA178">
        <f t="shared" si="25"/>
        <v>0</v>
      </c>
      <c r="AB178">
        <f t="shared" si="26"/>
        <v>0</v>
      </c>
      <c r="AC178" s="5"/>
      <c r="AD178">
        <f t="shared" si="27"/>
        <v>255</v>
      </c>
      <c r="AE178">
        <f t="shared" si="28"/>
        <v>255</v>
      </c>
      <c r="AF178">
        <f t="shared" si="29"/>
        <v>0</v>
      </c>
      <c r="AG178" s="9"/>
      <c r="AH178">
        <f t="shared" si="30"/>
        <v>255</v>
      </c>
      <c r="AI178">
        <f t="shared" si="31"/>
        <v>255</v>
      </c>
      <c r="AJ178">
        <f t="shared" si="32"/>
        <v>255</v>
      </c>
      <c r="AK178" s="3"/>
      <c r="AL178">
        <f>SQRT((2+(($AL$3+Table4[[#This Row],[Red]])/2)/256)*($AL$3-Table4[[#This Row],[Red]])^2 + 4*($AM$3-Table4[[#This Row],[Green]])^2 + (2+(255-(($AL$3+Table4[[#This Row],[Red]])/2))/256 )*($AN$3-Table4[[#This Row],[Blue]])^2)</f>
        <v>311.73354444841993</v>
      </c>
      <c r="AM178">
        <f>SQRT((2+(($AO$3+Table4[[#This Row],[Red2]])/2)/256)*($AO$3-Table4[[#This Row],[Red2]])^2 + 4*($AP$3-Table4[[#This Row],[Green2]])^2 + (2+(255-(($AO$3+Table4[[#This Row],[Red2]])/2))/256 )*($AQ$3-Table4[[#This Row],[Blue2]])^2)</f>
        <v>588.61659681568187</v>
      </c>
      <c r="AN178">
        <f>SQRT(Table4[[#This Row],[diffPrimary]]^2+Table4[[#This Row],[diffSecondary]]^2)</f>
        <v>666.06854060317994</v>
      </c>
      <c r="AO178" s="2">
        <f>SQRT((2+(($AL$3+Table4[[#This Row],[Red2]])/2)/256)*($AL$3-Table4[[#This Row],[Red2]])^2 + 4*($AM$3-Table4[[#This Row],[Green2]])^2 + (2+(255-(($AL$3+Table4[[#This Row],[Red2]])/2))/256 )*($AN$3-Table4[[#This Row],[Blue2]])^2)</f>
        <v>48</v>
      </c>
      <c r="AP178" s="2">
        <f>SQRT((2+(($AO$3+Table4[[#This Row],[Red]])/2)/256)*($AO$3-Table4[[#This Row],[Red]])^2 + 4*($AP$3-Table4[[#This Row],[Green]])^2 + (2+(255-(($AO$3+Table4[[#This Row],[Red]])/2))/256 )*($AQ$3-Table4[[#This Row],[Blue]])^2)</f>
        <v>381.56943585014773</v>
      </c>
      <c r="AQ178" s="2">
        <f>SQRT(Table4[[#This Row],[diffPrimary2]]^2+Table4[[#This Row],[diffSecondary2]]^2)</f>
        <v>384.57669504924502</v>
      </c>
      <c r="AR178" s="786">
        <f>MIN(Table4[[#This Row],[MinOrig]],Table4[[#This Row],[MinSwap]])</f>
        <v>384.57669504924502</v>
      </c>
      <c r="AS178" s="2">
        <v>101.548018198289</v>
      </c>
      <c r="AX178" s="4"/>
    </row>
    <row r="179" spans="1:50" x14ac:dyDescent="0.25">
      <c r="A179" t="s">
        <v>305</v>
      </c>
      <c r="B179">
        <v>177</v>
      </c>
      <c r="C179">
        <v>137</v>
      </c>
      <c r="D179">
        <v>6</v>
      </c>
      <c r="E179" s="598"/>
      <c r="F179">
        <v>255</v>
      </c>
      <c r="G179">
        <v>204</v>
      </c>
      <c r="H179">
        <v>0</v>
      </c>
      <c r="I179" s="80"/>
      <c r="J179">
        <v>0</v>
      </c>
      <c r="K179">
        <v>0</v>
      </c>
      <c r="L179">
        <v>0</v>
      </c>
      <c r="M179" s="4"/>
      <c r="N179">
        <v>237</v>
      </c>
      <c r="O179">
        <v>28</v>
      </c>
      <c r="P179">
        <v>36</v>
      </c>
      <c r="Q179" s="599"/>
      <c r="U179" s="4"/>
      <c r="Y179" s="4"/>
      <c r="Z179">
        <f t="shared" si="24"/>
        <v>127.5</v>
      </c>
      <c r="AA179">
        <f t="shared" si="25"/>
        <v>127.5</v>
      </c>
      <c r="AB179">
        <f t="shared" si="26"/>
        <v>0</v>
      </c>
      <c r="AC179" s="33"/>
      <c r="AD179">
        <f t="shared" si="27"/>
        <v>255</v>
      </c>
      <c r="AE179">
        <f t="shared" si="28"/>
        <v>255</v>
      </c>
      <c r="AF179">
        <f t="shared" si="29"/>
        <v>0</v>
      </c>
      <c r="AG179" s="9"/>
      <c r="AH179">
        <f t="shared" si="30"/>
        <v>0</v>
      </c>
      <c r="AI179">
        <f t="shared" si="31"/>
        <v>0</v>
      </c>
      <c r="AJ179">
        <f t="shared" si="32"/>
        <v>0</v>
      </c>
      <c r="AK179" s="4"/>
      <c r="AL179">
        <f>SQRT((2+(($AL$3+Table4[[#This Row],[Red]])/2)/256)*($AL$3-Table4[[#This Row],[Red]])^2 + 4*($AM$3-Table4[[#This Row],[Green]])^2 + (2+(255-(($AL$3+Table4[[#This Row],[Red]])/2))/256 )*($AN$3-Table4[[#This Row],[Blue]])^2)</f>
        <v>189.4065980239337</v>
      </c>
      <c r="AM179">
        <f>SQRT((2+(($AO$3+Table4[[#This Row],[Red2]])/2)/256)*($AO$3-Table4[[#This Row],[Red2]])^2 + 4*($AP$3-Table4[[#This Row],[Green2]])^2 + (2+(255-(($AO$3+Table4[[#This Row],[Red2]])/2))/256 )*($AQ$3-Table4[[#This Row],[Blue2]])^2)</f>
        <v>573.49760073332038</v>
      </c>
      <c r="AN179">
        <f>SQRT(Table4[[#This Row],[diffPrimary]]^2+Table4[[#This Row],[diffSecondary]]^2)</f>
        <v>603.96552668333231</v>
      </c>
      <c r="AO179" s="2">
        <f>SQRT((2+(($AL$3+Table4[[#This Row],[Red2]])/2)/256)*($AL$3-Table4[[#This Row],[Red2]])^2 + 4*($AM$3-Table4[[#This Row],[Green2]])^2 + (2+(255-(($AL$3+Table4[[#This Row],[Red2]])/2))/256 )*($AN$3-Table4[[#This Row],[Blue2]])^2)</f>
        <v>2</v>
      </c>
      <c r="AP179" s="2">
        <f>SQRT((2+(($AO$3+Table4[[#This Row],[Red]])/2)/256)*($AO$3-Table4[[#This Row],[Red]])^2 + 4*($AP$3-Table4[[#This Row],[Green]])^2 + (2+(255-(($AO$3+Table4[[#This Row],[Red]])/2))/256 )*($AQ$3-Table4[[#This Row],[Blue]])^2)</f>
        <v>385.5644528034515</v>
      </c>
      <c r="AQ179" s="2">
        <f>SQRT(Table4[[#This Row],[diffPrimary2]]^2+Table4[[#This Row],[diffSecondary2]]^2)</f>
        <v>385.56963996874151</v>
      </c>
      <c r="AR179" s="786">
        <f>MIN(Table4[[#This Row],[MinOrig]],Table4[[#This Row],[MinSwap]])</f>
        <v>385.56963996874151</v>
      </c>
      <c r="AS179" s="2">
        <v>84.230501267355606</v>
      </c>
      <c r="AX179" s="4"/>
    </row>
    <row r="180" spans="1:50" x14ac:dyDescent="0.25">
      <c r="A180" t="s">
        <v>268</v>
      </c>
      <c r="B180">
        <v>196</v>
      </c>
      <c r="C180">
        <v>20</v>
      </c>
      <c r="D180">
        <v>37</v>
      </c>
      <c r="E180" s="498"/>
      <c r="F180">
        <v>0</v>
      </c>
      <c r="G180">
        <v>0</v>
      </c>
      <c r="H180">
        <v>0</v>
      </c>
      <c r="I180" s="4"/>
      <c r="J180">
        <v>255</v>
      </c>
      <c r="K180">
        <v>255</v>
      </c>
      <c r="L180">
        <v>255</v>
      </c>
      <c r="M180" s="3"/>
      <c r="Q180" s="4"/>
      <c r="U180" s="4"/>
      <c r="Y180" s="4"/>
      <c r="Z180">
        <f t="shared" si="24"/>
        <v>255</v>
      </c>
      <c r="AA180">
        <f t="shared" si="25"/>
        <v>0</v>
      </c>
      <c r="AB180">
        <f t="shared" si="26"/>
        <v>0</v>
      </c>
      <c r="AC180" s="5"/>
      <c r="AD180">
        <f t="shared" si="27"/>
        <v>0</v>
      </c>
      <c r="AE180">
        <f t="shared" si="28"/>
        <v>0</v>
      </c>
      <c r="AF180">
        <f t="shared" si="29"/>
        <v>0</v>
      </c>
      <c r="AG180" s="4"/>
      <c r="AH180">
        <f t="shared" si="30"/>
        <v>255</v>
      </c>
      <c r="AI180">
        <f t="shared" si="31"/>
        <v>255</v>
      </c>
      <c r="AJ180">
        <f t="shared" si="32"/>
        <v>255</v>
      </c>
      <c r="AK180" s="3"/>
      <c r="AL180">
        <f>SQRT((2+(($AL$3+Table4[[#This Row],[Red]])/2)/256)*($AL$3-Table4[[#This Row],[Red]])^2 + 4*($AM$3-Table4[[#This Row],[Green]])^2 + (2+(255-(($AL$3+Table4[[#This Row],[Red]])/2))/256 )*($AN$3-Table4[[#This Row],[Blue]])^2)</f>
        <v>387.07108823025004</v>
      </c>
      <c r="AM180">
        <f>SQRT((2+(($AO$3+Table4[[#This Row],[Red2]])/2)/256)*($AO$3-Table4[[#This Row],[Red2]])^2 + 4*($AP$3-Table4[[#This Row],[Green2]])^2 + (2+(255-(($AO$3+Table4[[#This Row],[Red2]])/2))/256 )*($AQ$3-Table4[[#This Row],[Blue2]])^2)</f>
        <v>0</v>
      </c>
      <c r="AN180">
        <f>SQRT(Table4[[#This Row],[diffPrimary]]^2+Table4[[#This Row],[diffSecondary]]^2)</f>
        <v>387.07108823025004</v>
      </c>
      <c r="AO180" s="2">
        <f>SQRT((2+(($AL$3+Table4[[#This Row],[Red2]])/2)/256)*($AL$3-Table4[[#This Row],[Red2]])^2 + 4*($AM$3-Table4[[#This Row],[Green2]])^2 + (2+(255-(($AL$3+Table4[[#This Row],[Red2]])/2))/256 )*($AN$3-Table4[[#This Row],[Blue2]])^2)</f>
        <v>574.92216694686158</v>
      </c>
      <c r="AP180" s="2">
        <f>SQRT((2+(($AO$3+Table4[[#This Row],[Red]])/2)/256)*($AO$3-Table4[[#This Row],[Red]])^2 + 4*($AP$3-Table4[[#This Row],[Green]])^2 + (2+(255-(($AO$3+Table4[[#This Row],[Red]])/2))/256 )*($AQ$3-Table4[[#This Row],[Blue]])^2)</f>
        <v>310.99149028751572</v>
      </c>
      <c r="AQ180" s="2">
        <f>SQRT(Table4[[#This Row],[diffPrimary2]]^2+Table4[[#This Row],[diffSecondary2]]^2)</f>
        <v>653.64455560964097</v>
      </c>
      <c r="AR180" s="786">
        <f>MIN(Table4[[#This Row],[MinOrig]],Table4[[#This Row],[MinSwap]])</f>
        <v>387.07108823025004</v>
      </c>
      <c r="AS180" s="2">
        <v>16.982642793452399</v>
      </c>
      <c r="AX180" s="4"/>
    </row>
    <row r="181" spans="1:50" x14ac:dyDescent="0.25">
      <c r="A181" t="s">
        <v>189</v>
      </c>
      <c r="B181">
        <v>134</v>
      </c>
      <c r="C181">
        <v>31</v>
      </c>
      <c r="D181">
        <v>65</v>
      </c>
      <c r="E181" s="378"/>
      <c r="F181">
        <v>151</v>
      </c>
      <c r="G181">
        <v>153</v>
      </c>
      <c r="H181">
        <v>155</v>
      </c>
      <c r="I181" s="391"/>
      <c r="J181">
        <v>0</v>
      </c>
      <c r="K181">
        <v>0</v>
      </c>
      <c r="L181">
        <v>0</v>
      </c>
      <c r="M181" s="4"/>
      <c r="Q181" s="4"/>
      <c r="U181" s="4"/>
      <c r="Y181" s="4"/>
      <c r="Z181">
        <f t="shared" si="24"/>
        <v>127.5</v>
      </c>
      <c r="AA181">
        <f t="shared" si="25"/>
        <v>0</v>
      </c>
      <c r="AB181">
        <f t="shared" si="26"/>
        <v>127.5</v>
      </c>
      <c r="AC181" s="30"/>
      <c r="AD181">
        <f t="shared" si="27"/>
        <v>127.5</v>
      </c>
      <c r="AE181">
        <f t="shared" si="28"/>
        <v>127.5</v>
      </c>
      <c r="AF181">
        <f t="shared" si="29"/>
        <v>127.5</v>
      </c>
      <c r="AG181" s="32"/>
      <c r="AH181">
        <f t="shared" si="30"/>
        <v>0</v>
      </c>
      <c r="AI181">
        <f t="shared" si="31"/>
        <v>0</v>
      </c>
      <c r="AJ181">
        <f t="shared" si="32"/>
        <v>0</v>
      </c>
      <c r="AK181" s="4"/>
      <c r="AL181">
        <f>SQRT((2+(($AL$3+Table4[[#This Row],[Red]])/2)/256)*($AL$3-Table4[[#This Row],[Red]])^2 + 4*($AM$3-Table4[[#This Row],[Green]])^2 + (2+(255-(($AL$3+Table4[[#This Row],[Red]])/2))/256 )*($AN$3-Table4[[#This Row],[Blue]])^2)</f>
        <v>413.47093591176395</v>
      </c>
      <c r="AM181">
        <f>SQRT((2+(($AO$3+Table4[[#This Row],[Red2]])/2)/256)*($AO$3-Table4[[#This Row],[Red2]])^2 + 4*($AP$3-Table4[[#This Row],[Green2]])^2 + (2+(255-(($AO$3+Table4[[#This Row],[Red2]])/2))/256 )*($AQ$3-Table4[[#This Row],[Blue2]])^2)</f>
        <v>459.19295287357141</v>
      </c>
      <c r="AN181">
        <f>SQRT(Table4[[#This Row],[diffPrimary]]^2+Table4[[#This Row],[diffSecondary]]^2)</f>
        <v>617.91292494371726</v>
      </c>
      <c r="AO181" s="2">
        <f>SQRT((2+(($AL$3+Table4[[#This Row],[Red2]])/2)/256)*($AL$3-Table4[[#This Row],[Red2]])^2 + 4*($AM$3-Table4[[#This Row],[Green2]])^2 + (2+(255-(($AL$3+Table4[[#This Row],[Red2]])/2))/256 )*($AN$3-Table4[[#This Row],[Blue2]])^2)</f>
        <v>306.5205182773251</v>
      </c>
      <c r="AP181" s="2">
        <f>SQRT((2+(($AO$3+Table4[[#This Row],[Red]])/2)/256)*($AO$3-Table4[[#This Row],[Red]])^2 + 4*($AP$3-Table4[[#This Row],[Green]])^2 + (2+(255-(($AO$3+Table4[[#This Row],[Red]])/2))/256 )*($AQ$3-Table4[[#This Row],[Blue]])^2)</f>
        <v>236.66042392001245</v>
      </c>
      <c r="AQ181" s="2">
        <f>SQRT(Table4[[#This Row],[diffPrimary2]]^2+Table4[[#This Row],[diffSecondary2]]^2)</f>
        <v>387.25054470587901</v>
      </c>
      <c r="AR181" s="786">
        <f>MIN(Table4[[#This Row],[MinOrig]],Table4[[#This Row],[MinSwap]])</f>
        <v>387.25054470587901</v>
      </c>
      <c r="AS181" s="2">
        <v>39.436459970438499</v>
      </c>
      <c r="AX181" s="4"/>
    </row>
    <row r="182" spans="1:50" x14ac:dyDescent="0.25">
      <c r="A182" t="s">
        <v>64</v>
      </c>
      <c r="B182">
        <v>172</v>
      </c>
      <c r="C182">
        <v>26</v>
      </c>
      <c r="D182">
        <v>47</v>
      </c>
      <c r="E182" s="203"/>
      <c r="F182">
        <v>0</v>
      </c>
      <c r="G182">
        <v>0</v>
      </c>
      <c r="H182">
        <v>0</v>
      </c>
      <c r="I182" s="4"/>
      <c r="M182" s="4"/>
      <c r="Q182" s="4"/>
      <c r="U182" s="4"/>
      <c r="Y182" s="4"/>
      <c r="Z182">
        <f t="shared" si="24"/>
        <v>127.5</v>
      </c>
      <c r="AA182">
        <f t="shared" si="25"/>
        <v>0</v>
      </c>
      <c r="AB182">
        <f t="shared" si="26"/>
        <v>0</v>
      </c>
      <c r="AC182" s="27"/>
      <c r="AD182">
        <f t="shared" si="27"/>
        <v>0</v>
      </c>
      <c r="AE182">
        <f t="shared" si="28"/>
        <v>0</v>
      </c>
      <c r="AF182">
        <f t="shared" si="29"/>
        <v>0</v>
      </c>
      <c r="AG182" s="4"/>
      <c r="AH182">
        <f t="shared" si="30"/>
        <v>0</v>
      </c>
      <c r="AI182">
        <f t="shared" si="31"/>
        <v>0</v>
      </c>
      <c r="AJ182">
        <f t="shared" si="32"/>
        <v>0</v>
      </c>
      <c r="AK182" s="4"/>
      <c r="AL182">
        <f>SQRT((2+(($AL$3+Table4[[#This Row],[Red]])/2)/256)*($AL$3-Table4[[#This Row],[Red]])^2 + 4*($AM$3-Table4[[#This Row],[Green]])^2 + (2+(255-(($AL$3+Table4[[#This Row],[Red]])/2))/256 )*($AN$3-Table4[[#This Row],[Blue]])^2)</f>
        <v>390.46564249463739</v>
      </c>
      <c r="AM182">
        <f>SQRT((2+(($AO$3+Table4[[#This Row],[Red2]])/2)/256)*($AO$3-Table4[[#This Row],[Red2]])^2 + 4*($AP$3-Table4[[#This Row],[Green2]])^2 + (2+(255-(($AO$3+Table4[[#This Row],[Red2]])/2))/256 )*($AQ$3-Table4[[#This Row],[Blue2]])^2)</f>
        <v>0</v>
      </c>
      <c r="AN182">
        <f>SQRT(Table4[[#This Row],[diffPrimary]]^2+Table4[[#This Row],[diffSecondary]]^2)</f>
        <v>390.46564249463739</v>
      </c>
      <c r="AO182" s="2">
        <f>SQRT((2+(($AL$3+Table4[[#This Row],[Red2]])/2)/256)*($AL$3-Table4[[#This Row],[Red2]])^2 + 4*($AM$3-Table4[[#This Row],[Green2]])^2 + (2+(255-(($AL$3+Table4[[#This Row],[Red2]])/2))/256 )*($AN$3-Table4[[#This Row],[Blue2]])^2)</f>
        <v>574.92216694686158</v>
      </c>
      <c r="AP182" s="2">
        <f>SQRT((2+(($AO$3+Table4[[#This Row],[Red]])/2)/256)*($AO$3-Table4[[#This Row],[Red]])^2 + 4*($AP$3-Table4[[#This Row],[Green]])^2 + (2+(255-(($AO$3+Table4[[#This Row],[Red]])/2))/256 )*($AQ$3-Table4[[#This Row],[Blue]])^2)</f>
        <v>278.72326805677704</v>
      </c>
      <c r="AQ182" s="2">
        <f>SQRT(Table4[[#This Row],[diffPrimary2]]^2+Table4[[#This Row],[diffSecondary2]]^2)</f>
        <v>638.92265431985197</v>
      </c>
      <c r="AR182" s="786">
        <f>MIN(Table4[[#This Row],[MinOrig]],Table4[[#This Row],[MinSwap]])</f>
        <v>390.46564249463739</v>
      </c>
      <c r="AS182" s="2">
        <v>10.1045317803449</v>
      </c>
      <c r="AX182" s="4"/>
    </row>
    <row r="183" spans="1:50" x14ac:dyDescent="0.25">
      <c r="A183" t="s">
        <v>286</v>
      </c>
      <c r="B183">
        <v>80</v>
      </c>
      <c r="C183">
        <v>0</v>
      </c>
      <c r="D183">
        <v>0</v>
      </c>
      <c r="E183" s="530"/>
      <c r="F183">
        <v>255</v>
      </c>
      <c r="G183">
        <v>255</v>
      </c>
      <c r="H183">
        <v>255</v>
      </c>
      <c r="I183" s="3"/>
      <c r="M183" s="4"/>
      <c r="Q183" s="4"/>
      <c r="U183" s="4"/>
      <c r="Y183" s="4"/>
      <c r="Z183">
        <f t="shared" si="24"/>
        <v>127.5</v>
      </c>
      <c r="AA183">
        <f t="shared" si="25"/>
        <v>0</v>
      </c>
      <c r="AB183">
        <f t="shared" si="26"/>
        <v>0</v>
      </c>
      <c r="AC183" s="27"/>
      <c r="AD183">
        <f t="shared" si="27"/>
        <v>255</v>
      </c>
      <c r="AE183">
        <f t="shared" si="28"/>
        <v>255</v>
      </c>
      <c r="AF183">
        <f t="shared" si="29"/>
        <v>255</v>
      </c>
      <c r="AG183" s="3"/>
      <c r="AH183">
        <f t="shared" si="30"/>
        <v>0</v>
      </c>
      <c r="AI183">
        <f t="shared" si="31"/>
        <v>0</v>
      </c>
      <c r="AJ183">
        <f t="shared" si="32"/>
        <v>0</v>
      </c>
      <c r="AK183" s="4"/>
      <c r="AL183">
        <f>SQRT((2+(($AL$3+Table4[[#This Row],[Red]])/2)/256)*($AL$3-Table4[[#This Row],[Red]])^2 + 4*($AM$3-Table4[[#This Row],[Green]])^2 + (2+(255-(($AL$3+Table4[[#This Row],[Red]])/2))/256 )*($AN$3-Table4[[#This Row],[Blue]])^2)</f>
        <v>499.38746659970855</v>
      </c>
      <c r="AM183">
        <f>SQRT((2+(($AO$3+Table4[[#This Row],[Red2]])/2)/256)*($AO$3-Table4[[#This Row],[Red2]])^2 + 4*($AP$3-Table4[[#This Row],[Green2]])^2 + (2+(255-(($AO$3+Table4[[#This Row],[Red2]])/2))/256 )*($AQ$3-Table4[[#This Row],[Blue2]])^2)</f>
        <v>764.83396635724148</v>
      </c>
      <c r="AN183">
        <f>SQRT(Table4[[#This Row],[diffPrimary]]^2+Table4[[#This Row],[diffSecondary]]^2)</f>
        <v>913.43244845507047</v>
      </c>
      <c r="AO183" s="2">
        <f>SQRT((2+(($AL$3+Table4[[#This Row],[Red2]])/2)/256)*($AL$3-Table4[[#This Row],[Red2]])^2 + 4*($AM$3-Table4[[#This Row],[Green2]])^2 + (2+(255-(($AL$3+Table4[[#This Row],[Red2]])/2))/256 )*($AN$3-Table4[[#This Row],[Blue2]])^2)</f>
        <v>374.23254802328461</v>
      </c>
      <c r="AP183" s="2">
        <f>SQRT((2+(($AO$3+Table4[[#This Row],[Red]])/2)/256)*($AO$3-Table4[[#This Row],[Red]])^2 + 4*($AP$3-Table4[[#This Row],[Green]])^2 + (2+(255-(($AO$3+Table4[[#This Row],[Red]])/2))/256 )*($AQ$3-Table4[[#This Row],[Blue]])^2)</f>
        <v>117.4734012447073</v>
      </c>
      <c r="AQ183" s="2">
        <f>SQRT(Table4[[#This Row],[diffPrimary2]]^2+Table4[[#This Row],[diffSecondary2]]^2)</f>
        <v>392.2371731491038</v>
      </c>
      <c r="AR183" s="786">
        <f>MIN(Table4[[#This Row],[MinOrig]],Table4[[#This Row],[MinSwap]])</f>
        <v>392.2371731491038</v>
      </c>
      <c r="AS183" s="2">
        <v>25.9569956851713</v>
      </c>
      <c r="AX183" s="4"/>
    </row>
    <row r="184" spans="1:50" x14ac:dyDescent="0.25">
      <c r="A184" t="s">
        <v>159</v>
      </c>
      <c r="B184">
        <v>134</v>
      </c>
      <c r="C184">
        <v>38</v>
      </c>
      <c r="D184">
        <v>51</v>
      </c>
      <c r="E184" s="366"/>
      <c r="F184">
        <v>136</v>
      </c>
      <c r="G184">
        <v>139</v>
      </c>
      <c r="H184">
        <v>141</v>
      </c>
      <c r="I184" s="367"/>
      <c r="J184">
        <v>0</v>
      </c>
      <c r="K184">
        <v>0</v>
      </c>
      <c r="L184">
        <v>0</v>
      </c>
      <c r="M184" s="4"/>
      <c r="Q184" s="4"/>
      <c r="U184" s="4"/>
      <c r="Y184" s="4"/>
      <c r="Z184">
        <f t="shared" si="24"/>
        <v>127.5</v>
      </c>
      <c r="AA184">
        <f t="shared" si="25"/>
        <v>0</v>
      </c>
      <c r="AB184">
        <f t="shared" si="26"/>
        <v>0</v>
      </c>
      <c r="AC184" s="27"/>
      <c r="AD184">
        <f t="shared" si="27"/>
        <v>127.5</v>
      </c>
      <c r="AE184">
        <f t="shared" si="28"/>
        <v>127.5</v>
      </c>
      <c r="AF184">
        <f t="shared" si="29"/>
        <v>127.5</v>
      </c>
      <c r="AG184" s="32"/>
      <c r="AH184">
        <f t="shared" si="30"/>
        <v>0</v>
      </c>
      <c r="AI184">
        <f t="shared" si="31"/>
        <v>0</v>
      </c>
      <c r="AJ184">
        <f t="shared" si="32"/>
        <v>0</v>
      </c>
      <c r="AK184" s="4"/>
      <c r="AL184">
        <f>SQRT((2+(($AL$3+Table4[[#This Row],[Red]])/2)/256)*($AL$3-Table4[[#This Row],[Red]])^2 + 4*($AM$3-Table4[[#This Row],[Green]])^2 + (2+(255-(($AL$3+Table4[[#This Row],[Red]])/2))/256 )*($AN$3-Table4[[#This Row],[Blue]])^2)</f>
        <v>397.21331544744316</v>
      </c>
      <c r="AM184">
        <f>SQRT((2+(($AO$3+Table4[[#This Row],[Red2]])/2)/256)*($AO$3-Table4[[#This Row],[Red2]])^2 + 4*($AP$3-Table4[[#This Row],[Green2]])^2 + (2+(255-(($AO$3+Table4[[#This Row],[Red2]])/2))/256 )*($AQ$3-Table4[[#This Row],[Blue2]])^2)</f>
        <v>416.50143963586726</v>
      </c>
      <c r="AN184">
        <f>SQRT(Table4[[#This Row],[diffPrimary]]^2+Table4[[#This Row],[diffSecondary]]^2)</f>
        <v>575.54484376762514</v>
      </c>
      <c r="AO184" s="2">
        <f>SQRT((2+(($AL$3+Table4[[#This Row],[Red2]])/2)/256)*($AL$3-Table4[[#This Row],[Red2]])^2 + 4*($AM$3-Table4[[#This Row],[Green2]])^2 + (2+(255-(($AL$3+Table4[[#This Row],[Red2]])/2))/256 )*($AN$3-Table4[[#This Row],[Blue2]])^2)</f>
        <v>317.71549650394769</v>
      </c>
      <c r="AP184" s="2">
        <f>SQRT((2+(($AO$3+Table4[[#This Row],[Red]])/2)/256)*($AO$3-Table4[[#This Row],[Red]])^2 + 4*($AP$3-Table4[[#This Row],[Green]])^2 + (2+(255-(($AO$3+Table4[[#This Row],[Red]])/2))/256 )*($AQ$3-Table4[[#This Row],[Blue]])^2)</f>
        <v>231.29965683070088</v>
      </c>
      <c r="AQ184" s="2">
        <f>SQRT(Table4[[#This Row],[diffPrimary2]]^2+Table4[[#This Row],[diffSecondary2]]^2)</f>
        <v>392.99194389802699</v>
      </c>
      <c r="AR184" s="786">
        <f>MIN(Table4[[#This Row],[MinOrig]],Table4[[#This Row],[MinSwap]])</f>
        <v>392.99194389802699</v>
      </c>
      <c r="AS184" s="2">
        <v>26.441895320211099</v>
      </c>
      <c r="AX184" s="4"/>
    </row>
    <row r="185" spans="1:50" x14ac:dyDescent="0.25">
      <c r="A185" t="s">
        <v>28</v>
      </c>
      <c r="B185">
        <v>165</v>
      </c>
      <c r="C185">
        <v>0</v>
      </c>
      <c r="D185">
        <v>0</v>
      </c>
      <c r="E185" s="115"/>
      <c r="F185">
        <v>153</v>
      </c>
      <c r="G185">
        <v>153</v>
      </c>
      <c r="H185">
        <v>153</v>
      </c>
      <c r="I185" s="116"/>
      <c r="M185" s="4"/>
      <c r="Q185" s="4"/>
      <c r="U185" s="4"/>
      <c r="Y185" s="4"/>
      <c r="Z185">
        <f t="shared" si="24"/>
        <v>127.5</v>
      </c>
      <c r="AA185">
        <f t="shared" si="25"/>
        <v>0</v>
      </c>
      <c r="AB185">
        <f t="shared" si="26"/>
        <v>0</v>
      </c>
      <c r="AC185" s="27"/>
      <c r="AD185">
        <f t="shared" si="27"/>
        <v>127.5</v>
      </c>
      <c r="AE185">
        <f t="shared" si="28"/>
        <v>127.5</v>
      </c>
      <c r="AF185">
        <f t="shared" si="29"/>
        <v>127.5</v>
      </c>
      <c r="AG185" s="32"/>
      <c r="AH185">
        <f t="shared" si="30"/>
        <v>0</v>
      </c>
      <c r="AI185">
        <f t="shared" si="31"/>
        <v>0</v>
      </c>
      <c r="AJ185">
        <f t="shared" si="32"/>
        <v>0</v>
      </c>
      <c r="AK185" s="4"/>
      <c r="AL185">
        <f>SQRT((2+(($AL$3+Table4[[#This Row],[Red]])/2)/256)*($AL$3-Table4[[#This Row],[Red]])^2 + 4*($AM$3-Table4[[#This Row],[Green]])^2 + (2+(255-(($AL$3+Table4[[#This Row],[Red]])/2))/256 )*($AN$3-Table4[[#This Row],[Blue]])^2)</f>
        <v>436.97200282169109</v>
      </c>
      <c r="AM185">
        <f>SQRT((2+(($AO$3+Table4[[#This Row],[Red2]])/2)/256)*($AO$3-Table4[[#This Row],[Red2]])^2 + 4*($AP$3-Table4[[#This Row],[Green2]])^2 + (2+(255-(($AO$3+Table4[[#This Row],[Red2]])/2))/256 )*($AQ$3-Table4[[#This Row],[Blue2]])^2)</f>
        <v>458.90037981434489</v>
      </c>
      <c r="AN185">
        <f>SQRT(Table4[[#This Row],[diffPrimary]]^2+Table4[[#This Row],[diffSecondary]]^2)</f>
        <v>633.66717592419923</v>
      </c>
      <c r="AO185" s="2">
        <f>SQRT((2+(($AL$3+Table4[[#This Row],[Red2]])/2)/256)*($AL$3-Table4[[#This Row],[Red2]])^2 + 4*($AM$3-Table4[[#This Row],[Green2]])^2 + (2+(255-(($AL$3+Table4[[#This Row],[Red2]])/2))/256 )*($AN$3-Table4[[#This Row],[Blue2]])^2)</f>
        <v>302.31804315778112</v>
      </c>
      <c r="AP185" s="2">
        <f>SQRT((2+(($AO$3+Table4[[#This Row],[Red]])/2)/256)*($AO$3-Table4[[#This Row],[Red]])^2 + 4*($AP$3-Table4[[#This Row],[Green]])^2 + (2+(255-(($AO$3+Table4[[#This Row],[Red]])/2))/256 )*($AQ$3-Table4[[#This Row],[Blue]])^2)</f>
        <v>251.44319764238006</v>
      </c>
      <c r="AQ185" s="2">
        <f>SQRT(Table4[[#This Row],[diffPrimary2]]^2+Table4[[#This Row],[diffSecondary2]]^2)</f>
        <v>393.21734557287147</v>
      </c>
      <c r="AR185" s="786">
        <f>MIN(Table4[[#This Row],[MinOrig]],Table4[[#This Row],[MinSwap]])</f>
        <v>393.21734557287147</v>
      </c>
      <c r="AS185" s="2">
        <v>76.480708862594895</v>
      </c>
      <c r="AX185" s="4"/>
    </row>
    <row r="186" spans="1:50" x14ac:dyDescent="0.25">
      <c r="A186" t="s">
        <v>177</v>
      </c>
      <c r="B186">
        <v>134</v>
      </c>
      <c r="C186">
        <v>31</v>
      </c>
      <c r="D186">
        <v>65</v>
      </c>
      <c r="E186" s="378"/>
      <c r="F186">
        <v>137</v>
      </c>
      <c r="G186">
        <v>141</v>
      </c>
      <c r="H186">
        <v>141</v>
      </c>
      <c r="I186" s="369"/>
      <c r="M186" s="4"/>
      <c r="Q186" s="4"/>
      <c r="U186" s="4"/>
      <c r="Y186" s="4"/>
      <c r="Z186">
        <f t="shared" si="24"/>
        <v>127.5</v>
      </c>
      <c r="AA186">
        <f t="shared" si="25"/>
        <v>0</v>
      </c>
      <c r="AB186">
        <f t="shared" si="26"/>
        <v>127.5</v>
      </c>
      <c r="AC186" s="30"/>
      <c r="AD186">
        <f t="shared" si="27"/>
        <v>127.5</v>
      </c>
      <c r="AE186">
        <f t="shared" si="28"/>
        <v>127.5</v>
      </c>
      <c r="AF186">
        <f t="shared" si="29"/>
        <v>127.5</v>
      </c>
      <c r="AG186" s="32"/>
      <c r="AH186">
        <f t="shared" si="30"/>
        <v>0</v>
      </c>
      <c r="AI186">
        <f t="shared" si="31"/>
        <v>0</v>
      </c>
      <c r="AJ186">
        <f t="shared" si="32"/>
        <v>0</v>
      </c>
      <c r="AK186" s="4"/>
      <c r="AL186">
        <f>SQRT((2+(($AL$3+Table4[[#This Row],[Red]])/2)/256)*($AL$3-Table4[[#This Row],[Red]])^2 + 4*($AM$3-Table4[[#This Row],[Green]])^2 + (2+(255-(($AL$3+Table4[[#This Row],[Red]])/2))/256 )*($AN$3-Table4[[#This Row],[Blue]])^2)</f>
        <v>413.47093591176395</v>
      </c>
      <c r="AM186">
        <f>SQRT((2+(($AO$3+Table4[[#This Row],[Red2]])/2)/256)*($AO$3-Table4[[#This Row],[Red2]])^2 + 4*($AP$3-Table4[[#This Row],[Green2]])^2 + (2+(255-(($AO$3+Table4[[#This Row],[Red2]])/2))/256 )*($AQ$3-Table4[[#This Row],[Blue2]])^2)</f>
        <v>419.9164118830675</v>
      </c>
      <c r="AN186">
        <f>SQRT(Table4[[#This Row],[diffPrimary]]^2+Table4[[#This Row],[diffSecondary]]^2)</f>
        <v>589.31146926943484</v>
      </c>
      <c r="AO186" s="2">
        <f>SQRT((2+(($AL$3+Table4[[#This Row],[Red2]])/2)/256)*($AL$3-Table4[[#This Row],[Red2]])^2 + 4*($AM$3-Table4[[#This Row],[Green2]])^2 + (2+(255-(($AL$3+Table4[[#This Row],[Red2]])/2))/256 )*($AN$3-Table4[[#This Row],[Blue2]])^2)</f>
        <v>315.01827203949614</v>
      </c>
      <c r="AP186" s="2">
        <f>SQRT((2+(($AO$3+Table4[[#This Row],[Red]])/2)/256)*($AO$3-Table4[[#This Row],[Red]])^2 + 4*($AP$3-Table4[[#This Row],[Green]])^2 + (2+(255-(($AO$3+Table4[[#This Row],[Red]])/2))/256 )*($AQ$3-Table4[[#This Row],[Blue]])^2)</f>
        <v>236.66042392001245</v>
      </c>
      <c r="AQ186" s="2">
        <f>SQRT(Table4[[#This Row],[diffPrimary2]]^2+Table4[[#This Row],[diffSecondary2]]^2)</f>
        <v>394.01099980679476</v>
      </c>
      <c r="AR186" s="786">
        <f>MIN(Table4[[#This Row],[MinOrig]],Table4[[#This Row],[MinSwap]])</f>
        <v>394.01099980679476</v>
      </c>
      <c r="AS186" s="2">
        <v>26.441895320211099</v>
      </c>
      <c r="AX186" s="4"/>
    </row>
    <row r="187" spans="1:50" x14ac:dyDescent="0.25">
      <c r="A187" t="s">
        <v>165</v>
      </c>
      <c r="B187">
        <v>200</v>
      </c>
      <c r="C187">
        <v>16</v>
      </c>
      <c r="D187">
        <v>46</v>
      </c>
      <c r="E187" s="97"/>
      <c r="F187">
        <v>0</v>
      </c>
      <c r="G187">
        <v>0</v>
      </c>
      <c r="H187">
        <v>0</v>
      </c>
      <c r="I187" s="4"/>
      <c r="J187">
        <v>255</v>
      </c>
      <c r="K187">
        <v>255</v>
      </c>
      <c r="L187">
        <v>255</v>
      </c>
      <c r="M187" s="3"/>
      <c r="Q187" s="4"/>
      <c r="U187" s="4"/>
      <c r="Y187" s="4"/>
      <c r="Z187">
        <f t="shared" si="24"/>
        <v>255</v>
      </c>
      <c r="AA187">
        <f t="shared" si="25"/>
        <v>0</v>
      </c>
      <c r="AB187">
        <f t="shared" si="26"/>
        <v>0</v>
      </c>
      <c r="AC187" s="5"/>
      <c r="AD187">
        <f t="shared" si="27"/>
        <v>0</v>
      </c>
      <c r="AE187">
        <f t="shared" si="28"/>
        <v>0</v>
      </c>
      <c r="AF187">
        <f t="shared" si="29"/>
        <v>0</v>
      </c>
      <c r="AG187" s="4"/>
      <c r="AH187">
        <f t="shared" si="30"/>
        <v>255</v>
      </c>
      <c r="AI187">
        <f t="shared" si="31"/>
        <v>255</v>
      </c>
      <c r="AJ187">
        <f t="shared" si="32"/>
        <v>255</v>
      </c>
      <c r="AK187" s="3"/>
      <c r="AL187">
        <f>SQRT((2+(($AL$3+Table4[[#This Row],[Red]])/2)/256)*($AL$3-Table4[[#This Row],[Red]])^2 + 4*($AM$3-Table4[[#This Row],[Green]])^2 + (2+(255-(($AL$3+Table4[[#This Row],[Red]])/2))/256 )*($AN$3-Table4[[#This Row],[Blue]])^2)</f>
        <v>395.07155947926066</v>
      </c>
      <c r="AM187">
        <f>SQRT((2+(($AO$3+Table4[[#This Row],[Red2]])/2)/256)*($AO$3-Table4[[#This Row],[Red2]])^2 + 4*($AP$3-Table4[[#This Row],[Green2]])^2 + (2+(255-(($AO$3+Table4[[#This Row],[Red2]])/2))/256 )*($AQ$3-Table4[[#This Row],[Blue2]])^2)</f>
        <v>0</v>
      </c>
      <c r="AN187">
        <f>SQRT(Table4[[#This Row],[diffPrimary]]^2+Table4[[#This Row],[diffSecondary]]^2)</f>
        <v>395.07155947926066</v>
      </c>
      <c r="AO187" s="2">
        <f>SQRT((2+(($AL$3+Table4[[#This Row],[Red2]])/2)/256)*($AL$3-Table4[[#This Row],[Red2]])^2 + 4*($AM$3-Table4[[#This Row],[Green2]])^2 + (2+(255-(($AL$3+Table4[[#This Row],[Red2]])/2))/256 )*($AN$3-Table4[[#This Row],[Blue2]])^2)</f>
        <v>574.92216694686158</v>
      </c>
      <c r="AP187" s="2">
        <f>SQRT((2+(($AO$3+Table4[[#This Row],[Red]])/2)/256)*($AO$3-Table4[[#This Row],[Red]])^2 + 4*($AP$3-Table4[[#This Row],[Green]])^2 + (2+(255-(($AO$3+Table4[[#This Row],[Red]])/2))/256 )*($AQ$3-Table4[[#This Row],[Blue]])^2)</f>
        <v>319.62817753602388</v>
      </c>
      <c r="AQ187" s="2">
        <f>SQRT(Table4[[#This Row],[diffPrimary2]]^2+Table4[[#This Row],[diffSecondary2]]^2)</f>
        <v>657.79759038922828</v>
      </c>
      <c r="AR187" s="786">
        <f>MIN(Table4[[#This Row],[MinOrig]],Table4[[#This Row],[MinSwap]])</f>
        <v>395.07155947926066</v>
      </c>
      <c r="AS187" s="2">
        <v>0</v>
      </c>
      <c r="AX187" s="4"/>
    </row>
    <row r="188" spans="1:50" x14ac:dyDescent="0.25">
      <c r="A188" t="s">
        <v>262</v>
      </c>
      <c r="B188">
        <v>0</v>
      </c>
      <c r="C188">
        <v>0</v>
      </c>
      <c r="D188">
        <v>0</v>
      </c>
      <c r="E188" s="4"/>
      <c r="F188">
        <v>200</v>
      </c>
      <c r="G188">
        <v>16</v>
      </c>
      <c r="H188">
        <v>46</v>
      </c>
      <c r="I188" s="97"/>
      <c r="J188">
        <v>255</v>
      </c>
      <c r="K188">
        <v>255</v>
      </c>
      <c r="L188">
        <v>255</v>
      </c>
      <c r="M188" s="3"/>
      <c r="Q188" s="4"/>
      <c r="U188" s="4"/>
      <c r="Y188" s="4"/>
      <c r="Z188">
        <f t="shared" si="24"/>
        <v>0</v>
      </c>
      <c r="AA188">
        <f t="shared" si="25"/>
        <v>0</v>
      </c>
      <c r="AB188">
        <f t="shared" si="26"/>
        <v>0</v>
      </c>
      <c r="AC188" s="4"/>
      <c r="AD188">
        <f t="shared" si="27"/>
        <v>255</v>
      </c>
      <c r="AE188">
        <f t="shared" si="28"/>
        <v>0</v>
      </c>
      <c r="AF188">
        <f t="shared" si="29"/>
        <v>0</v>
      </c>
      <c r="AG188" s="5"/>
      <c r="AH188">
        <f t="shared" si="30"/>
        <v>255</v>
      </c>
      <c r="AI188">
        <f t="shared" si="31"/>
        <v>255</v>
      </c>
      <c r="AJ188">
        <f t="shared" si="32"/>
        <v>255</v>
      </c>
      <c r="AK188" s="3"/>
      <c r="AL188">
        <f>SQRT((2+(($AL$3+Table4[[#This Row],[Red]])/2)/256)*($AL$3-Table4[[#This Row],[Red]])^2 + 4*($AM$3-Table4[[#This Row],[Green]])^2 + (2+(255-(($AL$3+Table4[[#This Row],[Red]])/2))/256 )*($AN$3-Table4[[#This Row],[Blue]])^2)</f>
        <v>574.92216694686158</v>
      </c>
      <c r="AM188">
        <f>SQRT((2+(($AO$3+Table4[[#This Row],[Red2]])/2)/256)*($AO$3-Table4[[#This Row],[Red2]])^2 + 4*($AP$3-Table4[[#This Row],[Green2]])^2 + (2+(255-(($AO$3+Table4[[#This Row],[Red2]])/2))/256 )*($AQ$3-Table4[[#This Row],[Blue2]])^2)</f>
        <v>319.62817753602388</v>
      </c>
      <c r="AN188">
        <f>SQRT(Table4[[#This Row],[diffPrimary]]^2+Table4[[#This Row],[diffSecondary]]^2)</f>
        <v>657.79759038922828</v>
      </c>
      <c r="AO188" s="2">
        <f>SQRT((2+(($AL$3+Table4[[#This Row],[Red2]])/2)/256)*($AL$3-Table4[[#This Row],[Red2]])^2 + 4*($AM$3-Table4[[#This Row],[Green2]])^2 + (2+(255-(($AL$3+Table4[[#This Row],[Red2]])/2))/256 )*($AN$3-Table4[[#This Row],[Blue2]])^2)</f>
        <v>395.07155947926066</v>
      </c>
      <c r="AP188" s="2">
        <f>SQRT((2+(($AO$3+Table4[[#This Row],[Red]])/2)/256)*($AO$3-Table4[[#This Row],[Red]])^2 + 4*($AP$3-Table4[[#This Row],[Green]])^2 + (2+(255-(($AO$3+Table4[[#This Row],[Red]])/2))/256 )*($AQ$3-Table4[[#This Row],[Blue]])^2)</f>
        <v>0</v>
      </c>
      <c r="AQ188" s="2">
        <f>SQRT(Table4[[#This Row],[diffPrimary2]]^2+Table4[[#This Row],[diffSecondary2]]^2)</f>
        <v>395.07155947926066</v>
      </c>
      <c r="AR188" s="786">
        <f>MIN(Table4[[#This Row],[MinOrig]],Table4[[#This Row],[MinSwap]])</f>
        <v>395.07155947926066</v>
      </c>
      <c r="AS188" s="2">
        <v>0</v>
      </c>
      <c r="AX188" s="4"/>
    </row>
    <row r="189" spans="1:50" x14ac:dyDescent="0.25">
      <c r="A189" t="s">
        <v>54</v>
      </c>
      <c r="B189">
        <v>0</v>
      </c>
      <c r="C189">
        <v>111</v>
      </c>
      <c r="D189">
        <v>113</v>
      </c>
      <c r="E189" s="173"/>
      <c r="F189">
        <v>162</v>
      </c>
      <c r="G189">
        <v>119</v>
      </c>
      <c r="H189">
        <v>82</v>
      </c>
      <c r="I189" s="174"/>
      <c r="J189">
        <v>0</v>
      </c>
      <c r="K189">
        <v>111</v>
      </c>
      <c r="L189">
        <v>113</v>
      </c>
      <c r="M189" s="173"/>
      <c r="Q189" s="4"/>
      <c r="U189" s="4"/>
      <c r="Y189" s="4"/>
      <c r="Z189">
        <f t="shared" si="24"/>
        <v>0</v>
      </c>
      <c r="AA189">
        <f t="shared" si="25"/>
        <v>127.5</v>
      </c>
      <c r="AB189">
        <f t="shared" si="26"/>
        <v>127.5</v>
      </c>
      <c r="AC189" s="24"/>
      <c r="AD189">
        <f t="shared" si="27"/>
        <v>127.5</v>
      </c>
      <c r="AE189">
        <f t="shared" si="28"/>
        <v>127.5</v>
      </c>
      <c r="AF189">
        <f t="shared" si="29"/>
        <v>127.5</v>
      </c>
      <c r="AG189" s="32"/>
      <c r="AH189">
        <f t="shared" si="30"/>
        <v>0</v>
      </c>
      <c r="AI189">
        <f t="shared" si="31"/>
        <v>127.5</v>
      </c>
      <c r="AJ189">
        <f t="shared" si="32"/>
        <v>127.5</v>
      </c>
      <c r="AK189" s="24"/>
      <c r="AL189">
        <f>SQRT((2+(($AL$3+Table4[[#This Row],[Red]])/2)/256)*($AL$3-Table4[[#This Row],[Red]])^2 + 4*($AM$3-Table4[[#This Row],[Green]])^2 + (2+(255-(($AL$3+Table4[[#This Row],[Red]])/2))/256 )*($AN$3-Table4[[#This Row],[Blue]])^2)</f>
        <v>479.2463443718168</v>
      </c>
      <c r="AM189">
        <f>SQRT((2+(($AO$3+Table4[[#This Row],[Red2]])/2)/256)*($AO$3-Table4[[#This Row],[Red2]])^2 + 4*($AP$3-Table4[[#This Row],[Green2]])^2 + (2+(255-(($AO$3+Table4[[#This Row],[Red2]])/2))/256 )*($AQ$3-Table4[[#This Row],[Blue2]])^2)</f>
        <v>368.0407373851433</v>
      </c>
      <c r="AN189">
        <f>SQRT(Table4[[#This Row],[diffPrimary]]^2+Table4[[#This Row],[diffSecondary]]^2)</f>
        <v>604.26074087992015</v>
      </c>
      <c r="AO189" s="2">
        <f>SQRT((2+(($AL$3+Table4[[#This Row],[Red2]])/2)/256)*($AL$3-Table4[[#This Row],[Red2]])^2 + 4*($AM$3-Table4[[#This Row],[Green2]])^2 + (2+(255-(($AL$3+Table4[[#This Row],[Red2]])/2))/256 )*($AN$3-Table4[[#This Row],[Blue2]])^2)</f>
        <v>261.90753452435268</v>
      </c>
      <c r="AP189" s="2">
        <f>SQRT((2+(($AO$3+Table4[[#This Row],[Red]])/2)/256)*($AO$3-Table4[[#This Row],[Red]])^2 + 4*($AP$3-Table4[[#This Row],[Green]])^2 + (2+(255-(($AO$3+Table4[[#This Row],[Red]])/2))/256 )*($AQ$3-Table4[[#This Row],[Blue]])^2)</f>
        <v>295.87348832524685</v>
      </c>
      <c r="AQ189" s="2">
        <f>SQRT(Table4[[#This Row],[diffPrimary2]]^2+Table4[[#This Row],[diffSecondary2]]^2)</f>
        <v>395.14133893377317</v>
      </c>
      <c r="AR189" s="786">
        <f>MIN(Table4[[#This Row],[MinOrig]],Table4[[#This Row],[MinSwap]])</f>
        <v>395.14133893377317</v>
      </c>
      <c r="AS189" s="2">
        <v>83.152004542133596</v>
      </c>
      <c r="AX189" s="4"/>
    </row>
    <row r="190" spans="1:50" x14ac:dyDescent="0.25">
      <c r="A190" t="s">
        <v>247</v>
      </c>
      <c r="B190">
        <v>166</v>
      </c>
      <c r="C190">
        <v>25</v>
      </c>
      <c r="D190">
        <v>46</v>
      </c>
      <c r="E190" s="195"/>
      <c r="F190">
        <v>0</v>
      </c>
      <c r="G190">
        <v>0</v>
      </c>
      <c r="H190">
        <v>0</v>
      </c>
      <c r="I190" s="4"/>
      <c r="J190">
        <v>255</v>
      </c>
      <c r="K190">
        <v>255</v>
      </c>
      <c r="L190">
        <v>255</v>
      </c>
      <c r="M190" s="3"/>
      <c r="Q190" s="4"/>
      <c r="U190" s="4"/>
      <c r="Y190" s="4"/>
      <c r="Z190">
        <f t="shared" si="24"/>
        <v>127.5</v>
      </c>
      <c r="AA190">
        <f t="shared" si="25"/>
        <v>0</v>
      </c>
      <c r="AB190">
        <f t="shared" si="26"/>
        <v>0</v>
      </c>
      <c r="AC190" s="27"/>
      <c r="AD190">
        <f t="shared" si="27"/>
        <v>0</v>
      </c>
      <c r="AE190">
        <f t="shared" si="28"/>
        <v>0</v>
      </c>
      <c r="AF190">
        <f t="shared" si="29"/>
        <v>0</v>
      </c>
      <c r="AG190" s="4"/>
      <c r="AH190">
        <f t="shared" si="30"/>
        <v>255</v>
      </c>
      <c r="AI190">
        <f t="shared" si="31"/>
        <v>255</v>
      </c>
      <c r="AJ190">
        <f t="shared" si="32"/>
        <v>255</v>
      </c>
      <c r="AK190" s="3"/>
      <c r="AL190">
        <f>SQRT((2+(($AL$3+Table4[[#This Row],[Red]])/2)/256)*($AL$3-Table4[[#This Row],[Red]])^2 + 4*($AM$3-Table4[[#This Row],[Green]])^2 + (2+(255-(($AL$3+Table4[[#This Row],[Red]])/2))/256 )*($AN$3-Table4[[#This Row],[Blue]])^2)</f>
        <v>395.67030003289989</v>
      </c>
      <c r="AM190">
        <f>SQRT((2+(($AO$3+Table4[[#This Row],[Red2]])/2)/256)*($AO$3-Table4[[#This Row],[Red2]])^2 + 4*($AP$3-Table4[[#This Row],[Green2]])^2 + (2+(255-(($AO$3+Table4[[#This Row],[Red2]])/2))/256 )*($AQ$3-Table4[[#This Row],[Blue2]])^2)</f>
        <v>0</v>
      </c>
      <c r="AN190">
        <f>SQRT(Table4[[#This Row],[diffPrimary]]^2+Table4[[#This Row],[diffSecondary]]^2)</f>
        <v>395.67030003289989</v>
      </c>
      <c r="AO190" s="2">
        <f>SQRT((2+(($AL$3+Table4[[#This Row],[Red2]])/2)/256)*($AL$3-Table4[[#This Row],[Red2]])^2 + 4*($AM$3-Table4[[#This Row],[Green2]])^2 + (2+(255-(($AL$3+Table4[[#This Row],[Red2]])/2))/256 )*($AN$3-Table4[[#This Row],[Blue2]])^2)</f>
        <v>574.92216694686158</v>
      </c>
      <c r="AP190" s="2">
        <f>SQRT((2+(($AO$3+Table4[[#This Row],[Red]])/2)/256)*($AO$3-Table4[[#This Row],[Red]])^2 + 4*($AP$3-Table4[[#This Row],[Green]])^2 + (2+(255-(($AO$3+Table4[[#This Row],[Red]])/2))/256 )*($AQ$3-Table4[[#This Row],[Blue]])^2)</f>
        <v>268.70031517473143</v>
      </c>
      <c r="AQ190" s="2">
        <f>SQRT(Table4[[#This Row],[diffPrimary2]]^2+Table4[[#This Row],[diffSecondary2]]^2)</f>
        <v>634.6143375483058</v>
      </c>
      <c r="AR190" s="786">
        <f>MIN(Table4[[#This Row],[MinOrig]],Table4[[#This Row],[MinSwap]])</f>
        <v>395.67030003289989</v>
      </c>
      <c r="AS190" s="2">
        <v>10.1045317803449</v>
      </c>
      <c r="AX190" s="4"/>
    </row>
    <row r="191" spans="1:50" x14ac:dyDescent="0.25">
      <c r="A191" t="s">
        <v>221</v>
      </c>
      <c r="B191">
        <v>4</v>
      </c>
      <c r="C191">
        <v>30</v>
      </c>
      <c r="D191">
        <v>66</v>
      </c>
      <c r="E191" s="69"/>
      <c r="F191">
        <v>255</v>
      </c>
      <c r="G191">
        <v>255</v>
      </c>
      <c r="H191">
        <v>255</v>
      </c>
      <c r="I191" s="3"/>
      <c r="M191" s="4"/>
      <c r="Q191" s="4"/>
      <c r="U191" s="4"/>
      <c r="Y191" s="4"/>
      <c r="Z191">
        <f t="shared" si="24"/>
        <v>0</v>
      </c>
      <c r="AA191">
        <f t="shared" si="25"/>
        <v>0</v>
      </c>
      <c r="AB191">
        <f t="shared" si="26"/>
        <v>127.5</v>
      </c>
      <c r="AC191" s="26"/>
      <c r="AD191">
        <f t="shared" si="27"/>
        <v>255</v>
      </c>
      <c r="AE191">
        <f t="shared" si="28"/>
        <v>255</v>
      </c>
      <c r="AF191">
        <f t="shared" si="29"/>
        <v>255</v>
      </c>
      <c r="AG191" s="3"/>
      <c r="AH191">
        <f t="shared" si="30"/>
        <v>0</v>
      </c>
      <c r="AI191">
        <f t="shared" si="31"/>
        <v>0</v>
      </c>
      <c r="AJ191">
        <f t="shared" si="32"/>
        <v>0</v>
      </c>
      <c r="AK191" s="4"/>
      <c r="AL191">
        <f>SQRT((2+(($AL$3+Table4[[#This Row],[Red]])/2)/256)*($AL$3-Table4[[#This Row],[Red]])^2 + 4*($AM$3-Table4[[#This Row],[Green]])^2 + (2+(255-(($AL$3+Table4[[#This Row],[Red]])/2))/256 )*($AN$3-Table4[[#This Row],[Blue]])^2)</f>
        <v>539.64720644313081</v>
      </c>
      <c r="AM191">
        <f>SQRT((2+(($AO$3+Table4[[#This Row],[Red2]])/2)/256)*($AO$3-Table4[[#This Row],[Red2]])^2 + 4*($AP$3-Table4[[#This Row],[Green2]])^2 + (2+(255-(($AO$3+Table4[[#This Row],[Red2]])/2))/256 )*($AQ$3-Table4[[#This Row],[Blue2]])^2)</f>
        <v>764.83396635724148</v>
      </c>
      <c r="AN191">
        <f>SQRT(Table4[[#This Row],[diffPrimary]]^2+Table4[[#This Row],[diffSecondary]]^2)</f>
        <v>936.05026762221746</v>
      </c>
      <c r="AO191" s="2">
        <f>SQRT((2+(($AL$3+Table4[[#This Row],[Red2]])/2)/256)*($AL$3-Table4[[#This Row],[Red2]])^2 + 4*($AM$3-Table4[[#This Row],[Green2]])^2 + (2+(255-(($AL$3+Table4[[#This Row],[Red2]])/2))/256 )*($AN$3-Table4[[#This Row],[Blue2]])^2)</f>
        <v>374.23254802328461</v>
      </c>
      <c r="AP191" s="2">
        <f>SQRT((2+(($AO$3+Table4[[#This Row],[Red]])/2)/256)*($AO$3-Table4[[#This Row],[Red]])^2 + 4*($AP$3-Table4[[#This Row],[Green]])^2 + (2+(255-(($AO$3+Table4[[#This Row],[Red]])/2))/256 )*($AQ$3-Table4[[#This Row],[Blue]])^2)</f>
        <v>129.03130676312628</v>
      </c>
      <c r="AQ191" s="2">
        <f>SQRT(Table4[[#This Row],[diffPrimary2]]^2+Table4[[#This Row],[diffSecondary2]]^2)</f>
        <v>395.85234384174112</v>
      </c>
      <c r="AR191" s="786">
        <f>MIN(Table4[[#This Row],[MinOrig]],Table4[[#This Row],[MinSwap]])</f>
        <v>395.85234384174112</v>
      </c>
      <c r="AS191" s="2">
        <v>24.660190591315398</v>
      </c>
      <c r="AX191" s="4"/>
    </row>
    <row r="192" spans="1:50" x14ac:dyDescent="0.25">
      <c r="A192" t="s">
        <v>78</v>
      </c>
      <c r="B192">
        <v>76</v>
      </c>
      <c r="C192">
        <v>21</v>
      </c>
      <c r="D192">
        <v>30</v>
      </c>
      <c r="E192" s="227"/>
      <c r="F192">
        <v>255</v>
      </c>
      <c r="G192">
        <v>255</v>
      </c>
      <c r="H192">
        <v>255</v>
      </c>
      <c r="I192" s="3"/>
      <c r="M192" s="4"/>
      <c r="Q192" s="4"/>
      <c r="U192" s="4"/>
      <c r="Y192" s="4"/>
      <c r="Z192">
        <f t="shared" si="24"/>
        <v>127.5</v>
      </c>
      <c r="AA192">
        <f t="shared" si="25"/>
        <v>0</v>
      </c>
      <c r="AB192">
        <f t="shared" si="26"/>
        <v>0</v>
      </c>
      <c r="AC192" s="27"/>
      <c r="AD192">
        <f t="shared" si="27"/>
        <v>255</v>
      </c>
      <c r="AE192">
        <f t="shared" si="28"/>
        <v>255</v>
      </c>
      <c r="AF192">
        <f t="shared" si="29"/>
        <v>255</v>
      </c>
      <c r="AG192" s="3"/>
      <c r="AH192">
        <f t="shared" si="30"/>
        <v>0</v>
      </c>
      <c r="AI192">
        <f t="shared" si="31"/>
        <v>0</v>
      </c>
      <c r="AJ192">
        <f t="shared" si="32"/>
        <v>0</v>
      </c>
      <c r="AK192" s="4"/>
      <c r="AL192">
        <f>SQRT((2+(($AL$3+Table4[[#This Row],[Red]])/2)/256)*($AL$3-Table4[[#This Row],[Red]])^2 + 4*($AM$3-Table4[[#This Row],[Green]])^2 + (2+(255-(($AL$3+Table4[[#This Row],[Red]])/2))/256 )*($AN$3-Table4[[#This Row],[Blue]])^2)</f>
        <v>471.52375793471424</v>
      </c>
      <c r="AM192">
        <f>SQRT((2+(($AO$3+Table4[[#This Row],[Red2]])/2)/256)*($AO$3-Table4[[#This Row],[Red2]])^2 + 4*($AP$3-Table4[[#This Row],[Green2]])^2 + (2+(255-(($AO$3+Table4[[#This Row],[Red2]])/2))/256 )*($AQ$3-Table4[[#This Row],[Blue2]])^2)</f>
        <v>764.83396635724148</v>
      </c>
      <c r="AN192">
        <f>SQRT(Table4[[#This Row],[diffPrimary]]^2+Table4[[#This Row],[diffSecondary]]^2)</f>
        <v>898.50189225767633</v>
      </c>
      <c r="AO192" s="2">
        <f>SQRT((2+(($AL$3+Table4[[#This Row],[Red2]])/2)/256)*($AL$3-Table4[[#This Row],[Red2]])^2 + 4*($AM$3-Table4[[#This Row],[Green2]])^2 + (2+(255-(($AL$3+Table4[[#This Row],[Red2]])/2))/256 )*($AN$3-Table4[[#This Row],[Blue2]])^2)</f>
        <v>374.23254802328461</v>
      </c>
      <c r="AP192" s="2">
        <f>SQRT((2+(($AO$3+Table4[[#This Row],[Red]])/2)/256)*($AO$3-Table4[[#This Row],[Red]])^2 + 4*($AP$3-Table4[[#This Row],[Green]])^2 + (2+(255-(($AO$3+Table4[[#This Row],[Red]])/2))/256 )*($AQ$3-Table4[[#This Row],[Blue]])^2)</f>
        <v>129.36871965432758</v>
      </c>
      <c r="AQ192" s="2">
        <f>SQRT(Table4[[#This Row],[diffPrimary2]]^2+Table4[[#This Row],[diffSecondary2]]^2)</f>
        <v>395.96245481737282</v>
      </c>
      <c r="AR192" s="786">
        <f>MIN(Table4[[#This Row],[MinOrig]],Table4[[#This Row],[MinSwap]])</f>
        <v>395.96245481737282</v>
      </c>
      <c r="AS192" s="2">
        <v>60.781820370074499</v>
      </c>
      <c r="AX192" s="4"/>
    </row>
    <row r="193" spans="1:50" x14ac:dyDescent="0.25">
      <c r="A193" t="s">
        <v>327</v>
      </c>
      <c r="B193">
        <v>75</v>
      </c>
      <c r="C193">
        <v>38</v>
      </c>
      <c r="D193">
        <v>130</v>
      </c>
      <c r="E193" s="564"/>
      <c r="F193">
        <v>161</v>
      </c>
      <c r="G193">
        <v>161</v>
      </c>
      <c r="H193">
        <v>164</v>
      </c>
      <c r="I193" s="565"/>
      <c r="J193">
        <v>19</v>
      </c>
      <c r="K193">
        <v>12</v>
      </c>
      <c r="L193">
        <v>14</v>
      </c>
      <c r="M193" s="566"/>
      <c r="Q193" s="4"/>
      <c r="U193" s="4"/>
      <c r="Y193" s="4"/>
      <c r="Z193">
        <f t="shared" si="24"/>
        <v>127.5</v>
      </c>
      <c r="AA193">
        <f t="shared" si="25"/>
        <v>0</v>
      </c>
      <c r="AB193">
        <f t="shared" si="26"/>
        <v>127.5</v>
      </c>
      <c r="AC193" s="30"/>
      <c r="AD193">
        <f t="shared" si="27"/>
        <v>127.5</v>
      </c>
      <c r="AE193">
        <f t="shared" si="28"/>
        <v>127.5</v>
      </c>
      <c r="AF193">
        <f t="shared" si="29"/>
        <v>127.5</v>
      </c>
      <c r="AG193" s="32"/>
      <c r="AH193">
        <f t="shared" si="30"/>
        <v>0</v>
      </c>
      <c r="AI193">
        <f t="shared" si="31"/>
        <v>0</v>
      </c>
      <c r="AJ193">
        <f t="shared" si="32"/>
        <v>0</v>
      </c>
      <c r="AK193" s="4"/>
      <c r="AL193">
        <f>SQRT((2+(($AL$3+Table4[[#This Row],[Red]])/2)/256)*($AL$3-Table4[[#This Row],[Red]])^2 + 4*($AM$3-Table4[[#This Row],[Green]])^2 + (2+(255-(($AL$3+Table4[[#This Row],[Red]])/2))/256 )*($AN$3-Table4[[#This Row],[Blue]])^2)</f>
        <v>486.80614083020771</v>
      </c>
      <c r="AM193">
        <f>SQRT((2+(($AO$3+Table4[[#This Row],[Red2]])/2)/256)*($AO$3-Table4[[#This Row],[Red2]])^2 + 4*($AP$3-Table4[[#This Row],[Green2]])^2 + (2+(255-(($AO$3+Table4[[#This Row],[Red2]])/2))/256 )*($AQ$3-Table4[[#This Row],[Blue2]])^2)</f>
        <v>485.5948369815365</v>
      </c>
      <c r="AN193">
        <f>SQRT(Table4[[#This Row],[diffPrimary]]^2+Table4[[#This Row],[diffSecondary]]^2)</f>
        <v>687.59185892004643</v>
      </c>
      <c r="AO193" s="2">
        <f>SQRT((2+(($AL$3+Table4[[#This Row],[Red2]])/2)/256)*($AL$3-Table4[[#This Row],[Red2]])^2 + 4*($AM$3-Table4[[#This Row],[Green2]])^2 + (2+(255-(($AL$3+Table4[[#This Row],[Red2]])/2))/256 )*($AN$3-Table4[[#This Row],[Blue2]])^2)</f>
        <v>302.20057494981705</v>
      </c>
      <c r="AP193" s="2">
        <f>SQRT((2+(($AO$3+Table4[[#This Row],[Red]])/2)/256)*($AO$3-Table4[[#This Row],[Red]])^2 + 4*($AP$3-Table4[[#This Row],[Green]])^2 + (2+(255-(($AO$3+Table4[[#This Row],[Red]])/2))/256 )*($AQ$3-Table4[[#This Row],[Blue]])^2)</f>
        <v>256.9209470768684</v>
      </c>
      <c r="AQ193" s="2">
        <f>SQRT(Table4[[#This Row],[diffPrimary2]]^2+Table4[[#This Row],[diffSecondary2]]^2)</f>
        <v>396.65294723079393</v>
      </c>
      <c r="AR193" s="786">
        <f>MIN(Table4[[#This Row],[MinOrig]],Table4[[#This Row],[MinSwap]])</f>
        <v>396.65294723079393</v>
      </c>
      <c r="AS193" s="2">
        <v>65.228863913914694</v>
      </c>
      <c r="AX193" s="4"/>
    </row>
    <row r="194" spans="1:50" x14ac:dyDescent="0.25">
      <c r="A194" t="s">
        <v>296</v>
      </c>
      <c r="B194">
        <v>0</v>
      </c>
      <c r="C194">
        <v>103</v>
      </c>
      <c r="D194">
        <v>71</v>
      </c>
      <c r="E194" s="172"/>
      <c r="F194">
        <v>67</v>
      </c>
      <c r="G194">
        <v>176</v>
      </c>
      <c r="H194">
        <v>42</v>
      </c>
      <c r="I194" s="550"/>
      <c r="J194">
        <v>65</v>
      </c>
      <c r="K194">
        <v>143</v>
      </c>
      <c r="L194">
        <v>222</v>
      </c>
      <c r="M194" s="551"/>
      <c r="N194">
        <v>255</v>
      </c>
      <c r="O194">
        <v>255</v>
      </c>
      <c r="P194">
        <v>255</v>
      </c>
      <c r="Q194" s="3"/>
      <c r="R194">
        <v>0</v>
      </c>
      <c r="S194">
        <v>0</v>
      </c>
      <c r="T194">
        <v>0</v>
      </c>
      <c r="U194" s="4"/>
      <c r="Y194" s="4"/>
      <c r="Z194">
        <f t="shared" si="24"/>
        <v>0</v>
      </c>
      <c r="AA194">
        <f t="shared" si="25"/>
        <v>127.5</v>
      </c>
      <c r="AB194">
        <f t="shared" si="26"/>
        <v>127.5</v>
      </c>
      <c r="AC194" s="24"/>
      <c r="AD194">
        <f t="shared" si="27"/>
        <v>127.5</v>
      </c>
      <c r="AE194">
        <f t="shared" si="28"/>
        <v>127.5</v>
      </c>
      <c r="AF194">
        <f t="shared" si="29"/>
        <v>0</v>
      </c>
      <c r="AG194" s="33"/>
      <c r="AH194">
        <f t="shared" si="30"/>
        <v>127.5</v>
      </c>
      <c r="AI194">
        <f t="shared" si="31"/>
        <v>127.5</v>
      </c>
      <c r="AJ194">
        <f t="shared" si="32"/>
        <v>255</v>
      </c>
      <c r="AK194" s="37"/>
      <c r="AL194">
        <f>SQRT((2+(($AL$3+Table4[[#This Row],[Red]])/2)/256)*($AL$3-Table4[[#This Row],[Red]])^2 + 4*($AM$3-Table4[[#This Row],[Green]])^2 + (2+(255-(($AL$3+Table4[[#This Row],[Red]])/2))/256 )*($AN$3-Table4[[#This Row],[Blue]])^2)</f>
        <v>465.45048323505904</v>
      </c>
      <c r="AM194">
        <f>SQRT((2+(($AO$3+Table4[[#This Row],[Red2]])/2)/256)*($AO$3-Table4[[#This Row],[Red2]])^2 + 4*($AP$3-Table4[[#This Row],[Green2]])^2 + (2+(255-(($AO$3+Table4[[#This Row],[Red2]])/2))/256 )*($AQ$3-Table4[[#This Row],[Blue2]])^2)</f>
        <v>372.18772302680134</v>
      </c>
      <c r="AN194">
        <f>SQRT(Table4[[#This Row],[diffPrimary]]^2+Table4[[#This Row],[diffSecondary]]^2)</f>
        <v>595.95960728527984</v>
      </c>
      <c r="AO194" s="2">
        <f>SQRT((2+(($AL$3+Table4[[#This Row],[Red2]])/2)/256)*($AL$3-Table4[[#This Row],[Red2]])^2 + 4*($AM$3-Table4[[#This Row],[Green2]])^2 + (2+(255-(($AL$3+Table4[[#This Row],[Red2]])/2))/256 )*($AN$3-Table4[[#This Row],[Blue2]])^2)</f>
        <v>316.9476001644436</v>
      </c>
      <c r="AP194" s="2">
        <f>SQRT((2+(($AO$3+Table4[[#This Row],[Red]])/2)/256)*($AO$3-Table4[[#This Row],[Red]])^2 + 4*($AP$3-Table4[[#This Row],[Green]])^2 + (2+(255-(($AO$3+Table4[[#This Row],[Red]])/2))/256 )*($AQ$3-Table4[[#This Row],[Blue]])^2)</f>
        <v>239.87352624612413</v>
      </c>
      <c r="AQ194" s="2">
        <f>SQRT(Table4[[#This Row],[diffPrimary2]]^2+Table4[[#This Row],[diffSecondary2]]^2)</f>
        <v>397.48596181972266</v>
      </c>
      <c r="AR194" s="786">
        <f>MIN(Table4[[#This Row],[MinOrig]],Table4[[#This Row],[MinSwap]])</f>
        <v>397.48596181972266</v>
      </c>
      <c r="AS194" s="2">
        <v>125.461406229665</v>
      </c>
      <c r="AX194" s="4"/>
    </row>
    <row r="195" spans="1:50" x14ac:dyDescent="0.25">
      <c r="A195" t="s">
        <v>259</v>
      </c>
      <c r="B195">
        <v>173</v>
      </c>
      <c r="C195">
        <v>0</v>
      </c>
      <c r="D195">
        <v>0</v>
      </c>
      <c r="E195" s="12"/>
      <c r="F195">
        <v>180</v>
      </c>
      <c r="G195">
        <v>180</v>
      </c>
      <c r="H195">
        <v>180</v>
      </c>
      <c r="I195" s="488"/>
      <c r="J195">
        <v>0</v>
      </c>
      <c r="K195">
        <v>0</v>
      </c>
      <c r="L195">
        <v>0</v>
      </c>
      <c r="M195" s="4"/>
      <c r="Q195" s="4"/>
      <c r="U195" s="4"/>
      <c r="Y195" s="4"/>
      <c r="Z195">
        <f t="shared" si="24"/>
        <v>127.5</v>
      </c>
      <c r="AA195">
        <f t="shared" si="25"/>
        <v>0</v>
      </c>
      <c r="AB195">
        <f t="shared" si="26"/>
        <v>0</v>
      </c>
      <c r="AC195" s="27"/>
      <c r="AD195">
        <f t="shared" si="27"/>
        <v>127.5</v>
      </c>
      <c r="AE195">
        <f t="shared" si="28"/>
        <v>127.5</v>
      </c>
      <c r="AF195">
        <f t="shared" si="29"/>
        <v>127.5</v>
      </c>
      <c r="AG195" s="32"/>
      <c r="AH195">
        <f t="shared" si="30"/>
        <v>0</v>
      </c>
      <c r="AI195">
        <f t="shared" si="31"/>
        <v>0</v>
      </c>
      <c r="AJ195">
        <f t="shared" si="32"/>
        <v>0</v>
      </c>
      <c r="AK195" s="4"/>
      <c r="AL195">
        <f>SQRT((2+(($AL$3+Table4[[#This Row],[Red]])/2)/256)*($AL$3-Table4[[#This Row],[Red]])^2 + 4*($AM$3-Table4[[#This Row],[Green]])^2 + (2+(255-(($AL$3+Table4[[#This Row],[Red]])/2))/256 )*($AN$3-Table4[[#This Row],[Blue]])^2)</f>
        <v>432.63014660330828</v>
      </c>
      <c r="AM195">
        <f>SQRT((2+(($AO$3+Table4[[#This Row],[Red2]])/2)/256)*($AO$3-Table4[[#This Row],[Red2]])^2 + 4*($AP$3-Table4[[#This Row],[Green2]])^2 + (2+(255-(($AO$3+Table4[[#This Row],[Red2]])/2))/256 )*($AQ$3-Table4[[#This Row],[Blue2]])^2)</f>
        <v>539.88279978158221</v>
      </c>
      <c r="AN195">
        <f>SQRT(Table4[[#This Row],[diffPrimary]]^2+Table4[[#This Row],[diffSecondary]]^2)</f>
        <v>691.83978004303856</v>
      </c>
      <c r="AO195" s="2">
        <f>SQRT((2+(($AL$3+Table4[[#This Row],[Red2]])/2)/256)*($AL$3-Table4[[#This Row],[Red2]])^2 + 4*($AM$3-Table4[[#This Row],[Green2]])^2 + (2+(255-(($AL$3+Table4[[#This Row],[Red2]])/2))/256 )*($AN$3-Table4[[#This Row],[Blue2]])^2)</f>
        <v>296.77457182914947</v>
      </c>
      <c r="AP195" s="2">
        <f>SQRT((2+(($AO$3+Table4[[#This Row],[Red]])/2)/256)*($AO$3-Table4[[#This Row],[Red]])^2 + 4*($AP$3-Table4[[#This Row],[Green]])^2 + (2+(255-(($AO$3+Table4[[#This Row],[Red]])/2))/256 )*($AQ$3-Table4[[#This Row],[Blue]])^2)</f>
        <v>264.51980741642961</v>
      </c>
      <c r="AQ195" s="2">
        <f>SQRT(Table4[[#This Row],[diffPrimary2]]^2+Table4[[#This Row],[diffSecondary2]]^2)</f>
        <v>397.54983964277989</v>
      </c>
      <c r="AR195" s="786">
        <f>MIN(Table4[[#This Row],[MinOrig]],Table4[[#This Row],[MinSwap]])</f>
        <v>397.54983964277989</v>
      </c>
      <c r="AS195" s="2">
        <v>60.552663029795802</v>
      </c>
      <c r="AX195" s="4"/>
    </row>
    <row r="196" spans="1:50" x14ac:dyDescent="0.25">
      <c r="A196" t="s">
        <v>175</v>
      </c>
      <c r="B196">
        <v>94</v>
      </c>
      <c r="C196">
        <v>0</v>
      </c>
      <c r="D196">
        <v>9</v>
      </c>
      <c r="E196" s="376"/>
      <c r="F196">
        <v>255</v>
      </c>
      <c r="G196">
        <v>255</v>
      </c>
      <c r="H196">
        <v>255</v>
      </c>
      <c r="I196" s="3"/>
      <c r="J196">
        <v>0</v>
      </c>
      <c r="K196">
        <v>0</v>
      </c>
      <c r="L196">
        <v>0</v>
      </c>
      <c r="M196" s="4"/>
      <c r="Q196" s="4"/>
      <c r="U196" s="4"/>
      <c r="Y196" s="4"/>
      <c r="Z196">
        <f t="shared" si="24"/>
        <v>127.5</v>
      </c>
      <c r="AA196">
        <f t="shared" si="25"/>
        <v>0</v>
      </c>
      <c r="AB196">
        <f t="shared" si="26"/>
        <v>0</v>
      </c>
      <c r="AC196" s="27"/>
      <c r="AD196">
        <f t="shared" si="27"/>
        <v>255</v>
      </c>
      <c r="AE196">
        <f t="shared" si="28"/>
        <v>255</v>
      </c>
      <c r="AF196">
        <f t="shared" si="29"/>
        <v>255</v>
      </c>
      <c r="AG196" s="3"/>
      <c r="AH196">
        <f t="shared" si="30"/>
        <v>0</v>
      </c>
      <c r="AI196">
        <f t="shared" si="31"/>
        <v>0</v>
      </c>
      <c r="AJ196">
        <f t="shared" si="32"/>
        <v>0</v>
      </c>
      <c r="AK196" s="4"/>
      <c r="AL196">
        <f>SQRT((2+(($AL$3+Table4[[#This Row],[Red]])/2)/256)*($AL$3-Table4[[#This Row],[Red]])^2 + 4*($AM$3-Table4[[#This Row],[Green]])^2 + (2+(255-(($AL$3+Table4[[#This Row],[Red]])/2))/256 )*($AN$3-Table4[[#This Row],[Blue]])^2)</f>
        <v>487.64564731344626</v>
      </c>
      <c r="AM196">
        <f>SQRT((2+(($AO$3+Table4[[#This Row],[Red2]])/2)/256)*($AO$3-Table4[[#This Row],[Red2]])^2 + 4*($AP$3-Table4[[#This Row],[Green2]])^2 + (2+(255-(($AO$3+Table4[[#This Row],[Red2]])/2))/256 )*($AQ$3-Table4[[#This Row],[Blue2]])^2)</f>
        <v>764.83396635724148</v>
      </c>
      <c r="AN196">
        <f>SQRT(Table4[[#This Row],[diffPrimary]]^2+Table4[[#This Row],[diffSecondary]]^2)</f>
        <v>907.06630046402893</v>
      </c>
      <c r="AO196" s="2">
        <f>SQRT((2+(($AL$3+Table4[[#This Row],[Red2]])/2)/256)*($AL$3-Table4[[#This Row],[Red2]])^2 + 4*($AM$3-Table4[[#This Row],[Green2]])^2 + (2+(255-(($AL$3+Table4[[#This Row],[Red2]])/2))/256 )*($AN$3-Table4[[#This Row],[Blue2]])^2)</f>
        <v>374.23254802328461</v>
      </c>
      <c r="AP196" s="2">
        <f>SQRT((2+(($AO$3+Table4[[#This Row],[Red]])/2)/256)*($AO$3-Table4[[#This Row],[Red]])^2 + 4*($AP$3-Table4[[#This Row],[Green]])^2 + (2+(255-(($AO$3+Table4[[#This Row],[Red]])/2))/256 )*($AQ$3-Table4[[#This Row],[Blue]])^2)</f>
        <v>139.72131861315938</v>
      </c>
      <c r="AQ196" s="2">
        <f>SQRT(Table4[[#This Row],[diffPrimary2]]^2+Table4[[#This Row],[diffSecondary2]]^2)</f>
        <v>399.46470041168845</v>
      </c>
      <c r="AR196" s="786">
        <f>MIN(Table4[[#This Row],[MinOrig]],Table4[[#This Row],[MinSwap]])</f>
        <v>399.46470041168845</v>
      </c>
      <c r="AS196" s="2">
        <v>19.083390192782801</v>
      </c>
      <c r="AX196" s="4"/>
    </row>
    <row r="197" spans="1:50" x14ac:dyDescent="0.25">
      <c r="A197" t="s">
        <v>85</v>
      </c>
      <c r="B197">
        <v>0</v>
      </c>
      <c r="C197">
        <v>33</v>
      </c>
      <c r="D197">
        <v>165</v>
      </c>
      <c r="E197" s="238"/>
      <c r="F197">
        <v>250</v>
      </c>
      <c r="G197">
        <v>70</v>
      </c>
      <c r="H197">
        <v>22</v>
      </c>
      <c r="I197" s="239"/>
      <c r="M197" s="4"/>
      <c r="Q197" s="4"/>
      <c r="U197" s="4"/>
      <c r="Y197" s="4"/>
      <c r="Z197">
        <f t="shared" ref="Z197:Z260" si="33">ROUND(B197/255*$AA$2,0)*$AC$2/$AA$2</f>
        <v>0</v>
      </c>
      <c r="AA197">
        <f t="shared" ref="AA197:AA260" si="34">ROUND(C197/255*$AA$2,0)*$AC$2/$AA$2</f>
        <v>0</v>
      </c>
      <c r="AB197">
        <f t="shared" ref="AB197:AB260" si="35">ROUND(D197/255*$AA$2,0)*$AC$2/$AA$2</f>
        <v>127.5</v>
      </c>
      <c r="AC197" s="26"/>
      <c r="AD197">
        <f t="shared" ref="AD197:AD260" si="36">ROUND(F197/255*$AA$2,0)*$AC$2/$AA$2</f>
        <v>255</v>
      </c>
      <c r="AE197">
        <f t="shared" ref="AE197:AE260" si="37">ROUND(G197/255*$AA$2,0)*$AC$2/$AA$2</f>
        <v>127.5</v>
      </c>
      <c r="AF197">
        <f t="shared" ref="AF197:AF260" si="38">ROUND(H197/255*$AA$2,0)*$AC$2/$AA$2</f>
        <v>0</v>
      </c>
      <c r="AG197" s="28"/>
      <c r="AH197">
        <f t="shared" si="30"/>
        <v>0</v>
      </c>
      <c r="AI197">
        <f t="shared" si="31"/>
        <v>0</v>
      </c>
      <c r="AJ197">
        <f t="shared" si="32"/>
        <v>0</v>
      </c>
      <c r="AK197" s="4"/>
      <c r="AL197">
        <f>SQRT((2+(($AL$3+Table4[[#This Row],[Red]])/2)/256)*($AL$3-Table4[[#This Row],[Red]])^2 + 4*($AM$3-Table4[[#This Row],[Green]])^2 + (2+(255-(($AL$3+Table4[[#This Row],[Red]])/2))/256 )*($AN$3-Table4[[#This Row],[Blue]])^2)</f>
        <v>590.57668783888687</v>
      </c>
      <c r="AM197">
        <f>SQRT((2+(($AO$3+Table4[[#This Row],[Red2]])/2)/256)*($AO$3-Table4[[#This Row],[Red2]])^2 + 4*($AP$3-Table4[[#This Row],[Green2]])^2 + (2+(255-(($AO$3+Table4[[#This Row],[Red2]])/2))/256 )*($AQ$3-Table4[[#This Row],[Blue2]])^2)</f>
        <v>419.9182770194696</v>
      </c>
      <c r="AN197">
        <f>SQRT(Table4[[#This Row],[diffPrimary]]^2+Table4[[#This Row],[diffSecondary]]^2)</f>
        <v>724.64624720876736</v>
      </c>
      <c r="AO197" s="2">
        <f>SQRT((2+(($AL$3+Table4[[#This Row],[Red2]])/2)/256)*($AL$3-Table4[[#This Row],[Red2]])^2 + 4*($AM$3-Table4[[#This Row],[Green2]])^2 + (2+(255-(($AL$3+Table4[[#This Row],[Red2]])/2))/256 )*($AN$3-Table4[[#This Row],[Blue2]])^2)</f>
        <v>271.93268425407234</v>
      </c>
      <c r="AP197" s="2">
        <f>SQRT((2+(($AO$3+Table4[[#This Row],[Red]])/2)/256)*($AO$3-Table4[[#This Row],[Red]])^2 + 4*($AP$3-Table4[[#This Row],[Green]])^2 + (2+(255-(($AO$3+Table4[[#This Row],[Red]])/2))/256 )*($AQ$3-Table4[[#This Row],[Blue]])^2)</f>
        <v>293.12907113377548</v>
      </c>
      <c r="AQ197" s="2">
        <f>SQRT(Table4[[#This Row],[diffPrimary2]]^2+Table4[[#This Row],[diffSecondary2]]^2)</f>
        <v>399.8400143924755</v>
      </c>
      <c r="AR197" s="786">
        <f>MIN(Table4[[#This Row],[MinOrig]],Table4[[#This Row],[MinSwap]])</f>
        <v>399.8400143924755</v>
      </c>
      <c r="AS197" s="2">
        <v>35.459924562807501</v>
      </c>
      <c r="AX197" s="4"/>
    </row>
    <row r="198" spans="1:50" x14ac:dyDescent="0.25">
      <c r="A198" t="s">
        <v>312</v>
      </c>
      <c r="B198">
        <v>0</v>
      </c>
      <c r="C198">
        <v>42</v>
      </c>
      <c r="D198">
        <v>66</v>
      </c>
      <c r="E198" s="607"/>
      <c r="F198">
        <v>255</v>
      </c>
      <c r="G198">
        <v>255</v>
      </c>
      <c r="H198">
        <v>255</v>
      </c>
      <c r="I198" s="3"/>
      <c r="J198">
        <v>157</v>
      </c>
      <c r="K198">
        <v>150</v>
      </c>
      <c r="L198">
        <v>141</v>
      </c>
      <c r="M198" s="451"/>
      <c r="N198">
        <v>44</v>
      </c>
      <c r="O198">
        <v>42</v>
      </c>
      <c r="P198">
        <v>41</v>
      </c>
      <c r="Q198" s="406"/>
      <c r="U198" s="4"/>
      <c r="Y198" s="4"/>
      <c r="Z198">
        <f t="shared" si="33"/>
        <v>0</v>
      </c>
      <c r="AA198">
        <f t="shared" si="34"/>
        <v>0</v>
      </c>
      <c r="AB198">
        <f t="shared" si="35"/>
        <v>127.5</v>
      </c>
      <c r="AC198" s="26"/>
      <c r="AD198">
        <f t="shared" si="36"/>
        <v>255</v>
      </c>
      <c r="AE198">
        <f t="shared" si="37"/>
        <v>255</v>
      </c>
      <c r="AF198">
        <f t="shared" si="38"/>
        <v>255</v>
      </c>
      <c r="AG198" s="3"/>
      <c r="AH198">
        <f t="shared" si="30"/>
        <v>127.5</v>
      </c>
      <c r="AI198">
        <f t="shared" si="31"/>
        <v>127.5</v>
      </c>
      <c r="AJ198">
        <f t="shared" si="32"/>
        <v>127.5</v>
      </c>
      <c r="AK198" s="32"/>
      <c r="AL198">
        <f>SQRT((2+(($AL$3+Table4[[#This Row],[Red]])/2)/256)*($AL$3-Table4[[#This Row],[Red]])^2 + 4*($AM$3-Table4[[#This Row],[Green]])^2 + (2+(255-(($AL$3+Table4[[#This Row],[Red]])/2))/256 )*($AN$3-Table4[[#This Row],[Blue]])^2)</f>
        <v>528.76553427239844</v>
      </c>
      <c r="AM198">
        <f>SQRT((2+(($AO$3+Table4[[#This Row],[Red2]])/2)/256)*($AO$3-Table4[[#This Row],[Red2]])^2 + 4*($AP$3-Table4[[#This Row],[Green2]])^2 + (2+(255-(($AO$3+Table4[[#This Row],[Red2]])/2))/256 )*($AQ$3-Table4[[#This Row],[Blue2]])^2)</f>
        <v>764.83396635724148</v>
      </c>
      <c r="AN198">
        <f>SQRT(Table4[[#This Row],[diffPrimary]]^2+Table4[[#This Row],[diffSecondary]]^2)</f>
        <v>929.81932993895384</v>
      </c>
      <c r="AO198" s="2">
        <f>SQRT((2+(($AL$3+Table4[[#This Row],[Red2]])/2)/256)*($AL$3-Table4[[#This Row],[Red2]])^2 + 4*($AM$3-Table4[[#This Row],[Green2]])^2 + (2+(255-(($AL$3+Table4[[#This Row],[Red2]])/2))/256 )*($AN$3-Table4[[#This Row],[Blue2]])^2)</f>
        <v>374.23254802328461</v>
      </c>
      <c r="AP198" s="2">
        <f>SQRT((2+(($AO$3+Table4[[#This Row],[Red]])/2)/256)*($AO$3-Table4[[#This Row],[Red]])^2 + 4*($AP$3-Table4[[#This Row],[Green]])^2 + (2+(255-(($AO$3+Table4[[#This Row],[Red]])/2))/256 )*($AQ$3-Table4[[#This Row],[Blue]])^2)</f>
        <v>141.79909863958937</v>
      </c>
      <c r="AQ198" s="2">
        <f>SQRT(Table4[[#This Row],[diffPrimary2]]^2+Table4[[#This Row],[diffSecondary2]]^2)</f>
        <v>400.19618235935241</v>
      </c>
      <c r="AR198" s="786">
        <f>MIN(Table4[[#This Row],[MinOrig]],Table4[[#This Row],[MinSwap]])</f>
        <v>400.19618235935241</v>
      </c>
      <c r="AS198" s="2">
        <v>24.660190591315398</v>
      </c>
      <c r="AX198" s="4"/>
    </row>
    <row r="199" spans="1:50" x14ac:dyDescent="0.25">
      <c r="A199" t="s">
        <v>291</v>
      </c>
      <c r="B199">
        <v>245</v>
      </c>
      <c r="C199">
        <v>128</v>
      </c>
      <c r="D199">
        <v>38</v>
      </c>
      <c r="E199" s="541"/>
      <c r="F199">
        <v>0</v>
      </c>
      <c r="G199">
        <v>100</v>
      </c>
      <c r="H199">
        <v>177</v>
      </c>
      <c r="I199" s="542"/>
      <c r="M199" s="4"/>
      <c r="Q199" s="4"/>
      <c r="U199" s="4"/>
      <c r="Y199" s="4"/>
      <c r="Z199">
        <f t="shared" si="33"/>
        <v>255</v>
      </c>
      <c r="AA199">
        <f t="shared" si="34"/>
        <v>127.5</v>
      </c>
      <c r="AB199">
        <f t="shared" si="35"/>
        <v>0</v>
      </c>
      <c r="AC199" s="28"/>
      <c r="AD199">
        <f t="shared" si="36"/>
        <v>0</v>
      </c>
      <c r="AE199">
        <f t="shared" si="37"/>
        <v>127.5</v>
      </c>
      <c r="AF199">
        <f t="shared" si="38"/>
        <v>127.5</v>
      </c>
      <c r="AG199" s="24"/>
      <c r="AH199">
        <f t="shared" si="30"/>
        <v>0</v>
      </c>
      <c r="AI199">
        <f t="shared" si="31"/>
        <v>0</v>
      </c>
      <c r="AJ199">
        <f t="shared" si="32"/>
        <v>0</v>
      </c>
      <c r="AK199" s="4"/>
      <c r="AL199">
        <f>SQRT((2+(($AL$3+Table4[[#This Row],[Red]])/2)/256)*($AL$3-Table4[[#This Row],[Red]])^2 + 4*($AM$3-Table4[[#This Row],[Green]])^2 + (2+(255-(($AL$3+Table4[[#This Row],[Red]])/2))/256 )*($AN$3-Table4[[#This Row],[Blue]])^2)</f>
        <v>164.10319733326344</v>
      </c>
      <c r="AM199">
        <f>SQRT((2+(($AO$3+Table4[[#This Row],[Red2]])/2)/256)*($AO$3-Table4[[#This Row],[Red2]])^2 + 4*($AP$3-Table4[[#This Row],[Green2]])^2 + (2+(255-(($AO$3+Table4[[#This Row],[Red2]])/2))/256 )*($AQ$3-Table4[[#This Row],[Blue2]])^2)</f>
        <v>365.87514413218889</v>
      </c>
      <c r="AN199">
        <f>SQRT(Table4[[#This Row],[diffPrimary]]^2+Table4[[#This Row],[diffSecondary]]^2)</f>
        <v>400.99187082626747</v>
      </c>
      <c r="AO199" s="2">
        <f>SQRT((2+(($AL$3+Table4[[#This Row],[Red2]])/2)/256)*($AL$3-Table4[[#This Row],[Red2]])^2 + 4*($AM$3-Table4[[#This Row],[Green2]])^2 + (2+(255-(($AL$3+Table4[[#This Row],[Red2]])/2))/256 )*($AN$3-Table4[[#This Row],[Blue2]])^2)</f>
        <v>533.66357248153076</v>
      </c>
      <c r="AP199" s="2">
        <f>SQRT((2+(($AO$3+Table4[[#This Row],[Red]])/2)/256)*($AO$3-Table4[[#This Row],[Red]])^2 + 4*($AP$3-Table4[[#This Row],[Green]])^2 + (2+(255-(($AO$3+Table4[[#This Row],[Red]])/2))/256 )*($AQ$3-Table4[[#This Row],[Blue]])^2)</f>
        <v>466.84503125033365</v>
      </c>
      <c r="AQ199" s="2">
        <f>SQRT(Table4[[#This Row],[diffPrimary2]]^2+Table4[[#This Row],[diffSecondary2]]^2)</f>
        <v>709.04237658751754</v>
      </c>
      <c r="AR199" s="786">
        <f>MIN(Table4[[#This Row],[MinOrig]],Table4[[#This Row],[MinSwap]])</f>
        <v>400.99187082626747</v>
      </c>
      <c r="AS199" s="2">
        <v>87.890823610886699</v>
      </c>
      <c r="AX199" s="4"/>
    </row>
    <row r="200" spans="1:50" x14ac:dyDescent="0.25">
      <c r="A200" t="s">
        <v>4</v>
      </c>
      <c r="B200">
        <v>102</v>
      </c>
      <c r="C200">
        <v>0</v>
      </c>
      <c r="D200">
        <v>0</v>
      </c>
      <c r="E200" s="71"/>
      <c r="F200">
        <v>255</v>
      </c>
      <c r="G200">
        <v>255</v>
      </c>
      <c r="H200">
        <v>255</v>
      </c>
      <c r="I200" s="3"/>
      <c r="M200" s="4"/>
      <c r="Q200" s="4"/>
      <c r="U200" s="4"/>
      <c r="Y200" s="4"/>
      <c r="Z200">
        <f t="shared" si="33"/>
        <v>127.5</v>
      </c>
      <c r="AA200">
        <f t="shared" si="34"/>
        <v>0</v>
      </c>
      <c r="AB200">
        <f t="shared" si="35"/>
        <v>0</v>
      </c>
      <c r="AC200" s="27"/>
      <c r="AD200">
        <f t="shared" si="36"/>
        <v>255</v>
      </c>
      <c r="AE200">
        <f t="shared" si="37"/>
        <v>255</v>
      </c>
      <c r="AF200">
        <f t="shared" si="38"/>
        <v>255</v>
      </c>
      <c r="AG200" s="3"/>
      <c r="AH200">
        <f t="shared" si="30"/>
        <v>0</v>
      </c>
      <c r="AI200">
        <f t="shared" si="31"/>
        <v>0</v>
      </c>
      <c r="AJ200">
        <f t="shared" si="32"/>
        <v>0</v>
      </c>
      <c r="AK200" s="4"/>
      <c r="AL200">
        <f>SQRT((2+(($AL$3+Table4[[#This Row],[Red]])/2)/256)*($AL$3-Table4[[#This Row],[Red]])^2 + 4*($AM$3-Table4[[#This Row],[Green]])^2 + (2+(255-(($AL$3+Table4[[#This Row],[Red]])/2))/256 )*($AN$3-Table4[[#This Row],[Blue]])^2)</f>
        <v>480.87450651456351</v>
      </c>
      <c r="AM200">
        <f>SQRT((2+(($AO$3+Table4[[#This Row],[Red2]])/2)/256)*($AO$3-Table4[[#This Row],[Red2]])^2 + 4*($AP$3-Table4[[#This Row],[Green2]])^2 + (2+(255-(($AO$3+Table4[[#This Row],[Red2]])/2))/256 )*($AQ$3-Table4[[#This Row],[Blue2]])^2)</f>
        <v>764.83396635724148</v>
      </c>
      <c r="AN200">
        <f>SQRT(Table4[[#This Row],[diffPrimary]]^2+Table4[[#This Row],[diffSecondary]]^2)</f>
        <v>903.44412506218396</v>
      </c>
      <c r="AO200" s="2">
        <f>SQRT((2+(($AL$3+Table4[[#This Row],[Red2]])/2)/256)*($AL$3-Table4[[#This Row],[Red2]])^2 + 4*($AM$3-Table4[[#This Row],[Green2]])^2 + (2+(255-(($AL$3+Table4[[#This Row],[Red2]])/2))/256 )*($AN$3-Table4[[#This Row],[Blue2]])^2)</f>
        <v>374.23254802328461</v>
      </c>
      <c r="AP200" s="2">
        <f>SQRT((2+(($AO$3+Table4[[#This Row],[Red]])/2)/256)*($AO$3-Table4[[#This Row],[Red]])^2 + 4*($AP$3-Table4[[#This Row],[Green]])^2 + (2+(255-(($AO$3+Table4[[#This Row],[Red]])/2))/256 )*($AQ$3-Table4[[#This Row],[Blue]])^2)</f>
        <v>151.26358410073456</v>
      </c>
      <c r="AQ200" s="2">
        <f>SQRT(Table4[[#This Row],[diffPrimary2]]^2+Table4[[#This Row],[diffSecondary2]]^2)</f>
        <v>403.64671666570018</v>
      </c>
      <c r="AR200" s="786">
        <f>MIN(Table4[[#This Row],[MinOrig]],Table4[[#This Row],[MinSwap]])</f>
        <v>403.64671666570018</v>
      </c>
      <c r="AS200" s="2">
        <v>0</v>
      </c>
      <c r="AX200" s="4"/>
    </row>
    <row r="201" spans="1:50" x14ac:dyDescent="0.25">
      <c r="A201" t="s">
        <v>172</v>
      </c>
      <c r="B201">
        <v>102</v>
      </c>
      <c r="C201">
        <v>0</v>
      </c>
      <c r="D201">
        <v>0</v>
      </c>
      <c r="E201" s="71"/>
      <c r="F201">
        <v>255</v>
      </c>
      <c r="G201">
        <v>255</v>
      </c>
      <c r="H201">
        <v>255</v>
      </c>
      <c r="I201" s="3"/>
      <c r="J201">
        <v>204</v>
      </c>
      <c r="K201">
        <v>204</v>
      </c>
      <c r="L201">
        <v>204</v>
      </c>
      <c r="M201" s="130"/>
      <c r="N201">
        <v>117</v>
      </c>
      <c r="O201">
        <v>120</v>
      </c>
      <c r="P201">
        <v>123</v>
      </c>
      <c r="Q201" s="374"/>
      <c r="U201" s="4"/>
      <c r="Y201" s="4"/>
      <c r="Z201">
        <f t="shared" si="33"/>
        <v>127.5</v>
      </c>
      <c r="AA201">
        <f t="shared" si="34"/>
        <v>0</v>
      </c>
      <c r="AB201">
        <f t="shared" si="35"/>
        <v>0</v>
      </c>
      <c r="AC201" s="27"/>
      <c r="AD201">
        <f t="shared" si="36"/>
        <v>255</v>
      </c>
      <c r="AE201">
        <f t="shared" si="37"/>
        <v>255</v>
      </c>
      <c r="AF201">
        <f t="shared" si="38"/>
        <v>255</v>
      </c>
      <c r="AG201" s="3"/>
      <c r="AH201">
        <f t="shared" si="30"/>
        <v>255</v>
      </c>
      <c r="AI201">
        <f t="shared" si="31"/>
        <v>255</v>
      </c>
      <c r="AJ201">
        <f t="shared" si="32"/>
        <v>255</v>
      </c>
      <c r="AK201" s="3"/>
      <c r="AL201">
        <f>SQRT((2+(($AL$3+Table4[[#This Row],[Red]])/2)/256)*($AL$3-Table4[[#This Row],[Red]])^2 + 4*($AM$3-Table4[[#This Row],[Green]])^2 + (2+(255-(($AL$3+Table4[[#This Row],[Red]])/2))/256 )*($AN$3-Table4[[#This Row],[Blue]])^2)</f>
        <v>480.87450651456351</v>
      </c>
      <c r="AM201">
        <f>SQRT((2+(($AO$3+Table4[[#This Row],[Red2]])/2)/256)*($AO$3-Table4[[#This Row],[Red2]])^2 + 4*($AP$3-Table4[[#This Row],[Green2]])^2 + (2+(255-(($AO$3+Table4[[#This Row],[Red2]])/2))/256 )*($AQ$3-Table4[[#This Row],[Blue2]])^2)</f>
        <v>764.83396635724148</v>
      </c>
      <c r="AN201">
        <f>SQRT(Table4[[#This Row],[diffPrimary]]^2+Table4[[#This Row],[diffSecondary]]^2)</f>
        <v>903.44412506218396</v>
      </c>
      <c r="AO201" s="2">
        <f>SQRT((2+(($AL$3+Table4[[#This Row],[Red2]])/2)/256)*($AL$3-Table4[[#This Row],[Red2]])^2 + 4*($AM$3-Table4[[#This Row],[Green2]])^2 + (2+(255-(($AL$3+Table4[[#This Row],[Red2]])/2))/256 )*($AN$3-Table4[[#This Row],[Blue2]])^2)</f>
        <v>374.23254802328461</v>
      </c>
      <c r="AP201" s="2">
        <f>SQRT((2+(($AO$3+Table4[[#This Row],[Red]])/2)/256)*($AO$3-Table4[[#This Row],[Red]])^2 + 4*($AP$3-Table4[[#This Row],[Green]])^2 + (2+(255-(($AO$3+Table4[[#This Row],[Red]])/2))/256 )*($AQ$3-Table4[[#This Row],[Blue]])^2)</f>
        <v>151.26358410073456</v>
      </c>
      <c r="AQ201" s="2">
        <f>SQRT(Table4[[#This Row],[diffPrimary2]]^2+Table4[[#This Row],[diffSecondary2]]^2)</f>
        <v>403.64671666570018</v>
      </c>
      <c r="AR201" s="786">
        <f>MIN(Table4[[#This Row],[MinOrig]],Table4[[#This Row],[MinSwap]])</f>
        <v>403.64671666570018</v>
      </c>
      <c r="AS201" s="2">
        <v>0</v>
      </c>
      <c r="AX201" s="4"/>
    </row>
    <row r="202" spans="1:50" x14ac:dyDescent="0.25">
      <c r="A202" t="s">
        <v>119</v>
      </c>
      <c r="B202">
        <v>172</v>
      </c>
      <c r="C202">
        <v>30</v>
      </c>
      <c r="D202">
        <v>45</v>
      </c>
      <c r="E202" s="576"/>
      <c r="F202">
        <v>4</v>
      </c>
      <c r="G202">
        <v>30</v>
      </c>
      <c r="H202">
        <v>66</v>
      </c>
      <c r="I202" s="69"/>
      <c r="J202">
        <v>250</v>
      </c>
      <c r="K202">
        <v>204</v>
      </c>
      <c r="L202">
        <v>9</v>
      </c>
      <c r="M202" s="577"/>
      <c r="Q202" s="4"/>
      <c r="U202" s="4"/>
      <c r="Y202" s="4"/>
      <c r="Z202">
        <f t="shared" si="33"/>
        <v>127.5</v>
      </c>
      <c r="AA202">
        <f t="shared" si="34"/>
        <v>0</v>
      </c>
      <c r="AB202">
        <f t="shared" si="35"/>
        <v>0</v>
      </c>
      <c r="AC202" s="27"/>
      <c r="AD202">
        <f t="shared" si="36"/>
        <v>0</v>
      </c>
      <c r="AE202">
        <f t="shared" si="37"/>
        <v>0</v>
      </c>
      <c r="AF202">
        <f t="shared" si="38"/>
        <v>127.5</v>
      </c>
      <c r="AG202" s="26"/>
      <c r="AH202">
        <f t="shared" si="30"/>
        <v>255</v>
      </c>
      <c r="AI202">
        <f t="shared" si="31"/>
        <v>255</v>
      </c>
      <c r="AJ202">
        <f t="shared" si="32"/>
        <v>0</v>
      </c>
      <c r="AK202" s="9"/>
      <c r="AL202">
        <f>SQRT((2+(($AL$3+Table4[[#This Row],[Red]])/2)/256)*($AL$3-Table4[[#This Row],[Red]])^2 + 4*($AM$3-Table4[[#This Row],[Green]])^2 + (2+(255-(($AL$3+Table4[[#This Row],[Red]])/2))/256 )*($AN$3-Table4[[#This Row],[Blue]])^2)</f>
        <v>382.62460695014113</v>
      </c>
      <c r="AM202">
        <f>SQRT((2+(($AO$3+Table4[[#This Row],[Red2]])/2)/256)*($AO$3-Table4[[#This Row],[Red2]])^2 + 4*($AP$3-Table4[[#This Row],[Green2]])^2 + (2+(255-(($AO$3+Table4[[#This Row],[Red2]])/2))/256 )*($AQ$3-Table4[[#This Row],[Blue2]])^2)</f>
        <v>129.03130676312628</v>
      </c>
      <c r="AN202">
        <f>SQRT(Table4[[#This Row],[diffPrimary]]^2+Table4[[#This Row],[diffSecondary]]^2)</f>
        <v>403.79532930526824</v>
      </c>
      <c r="AO202" s="2">
        <f>SQRT((2+(($AL$3+Table4[[#This Row],[Red2]])/2)/256)*($AL$3-Table4[[#This Row],[Red2]])^2 + 4*($AM$3-Table4[[#This Row],[Green2]])^2 + (2+(255-(($AL$3+Table4[[#This Row],[Red2]])/2))/256 )*($AN$3-Table4[[#This Row],[Blue2]])^2)</f>
        <v>539.64720644313081</v>
      </c>
      <c r="AP202" s="2">
        <f>SQRT((2+(($AO$3+Table4[[#This Row],[Red]])/2)/256)*($AO$3-Table4[[#This Row],[Red]])^2 + 4*($AP$3-Table4[[#This Row],[Green]])^2 + (2+(255-(($AO$3+Table4[[#This Row],[Red]])/2))/256 )*($AQ$3-Table4[[#This Row],[Blue]])^2)</f>
        <v>279.45159045217474</v>
      </c>
      <c r="AQ202" s="2">
        <f>SQRT(Table4[[#This Row],[diffPrimary2]]^2+Table4[[#This Row],[diffSecondary2]]^2)</f>
        <v>607.71070323643721</v>
      </c>
      <c r="AR202" s="786">
        <f>MIN(Table4[[#This Row],[MinOrig]],Table4[[#This Row],[MinSwap]])</f>
        <v>403.79532930526824</v>
      </c>
      <c r="AS202" s="2">
        <v>32.572815064866603</v>
      </c>
      <c r="AX202" s="4"/>
    </row>
    <row r="203" spans="1:50" x14ac:dyDescent="0.25">
      <c r="A203" t="s">
        <v>162</v>
      </c>
      <c r="B203">
        <v>0</v>
      </c>
      <c r="C203">
        <v>48</v>
      </c>
      <c r="D203">
        <v>135</v>
      </c>
      <c r="E203" s="65"/>
      <c r="F203">
        <v>137</v>
      </c>
      <c r="G203">
        <v>141</v>
      </c>
      <c r="H203">
        <v>141</v>
      </c>
      <c r="I203" s="369"/>
      <c r="M203" s="4"/>
      <c r="Q203" s="4"/>
      <c r="U203" s="4"/>
      <c r="Y203" s="4"/>
      <c r="Z203">
        <f t="shared" si="33"/>
        <v>0</v>
      </c>
      <c r="AA203">
        <f t="shared" si="34"/>
        <v>0</v>
      </c>
      <c r="AB203">
        <f t="shared" si="35"/>
        <v>127.5</v>
      </c>
      <c r="AC203" s="26"/>
      <c r="AD203">
        <f t="shared" si="36"/>
        <v>127.5</v>
      </c>
      <c r="AE203">
        <f t="shared" si="37"/>
        <v>127.5</v>
      </c>
      <c r="AF203">
        <f t="shared" si="38"/>
        <v>127.5</v>
      </c>
      <c r="AG203" s="32"/>
      <c r="AH203">
        <f t="shared" si="30"/>
        <v>0</v>
      </c>
      <c r="AI203">
        <f t="shared" si="31"/>
        <v>0</v>
      </c>
      <c r="AJ203">
        <f t="shared" si="32"/>
        <v>0</v>
      </c>
      <c r="AK203" s="4"/>
      <c r="AL203">
        <f>SQRT((2+(($AL$3+Table4[[#This Row],[Red]])/2)/256)*($AL$3-Table4[[#This Row],[Red]])^2 + 4*($AM$3-Table4[[#This Row],[Green]])^2 + (2+(255-(($AL$3+Table4[[#This Row],[Red]])/2))/256 )*($AN$3-Table4[[#This Row],[Blue]])^2)</f>
        <v>553.67716436904823</v>
      </c>
      <c r="AM203">
        <f>SQRT((2+(($AO$3+Table4[[#This Row],[Red2]])/2)/256)*($AO$3-Table4[[#This Row],[Red2]])^2 + 4*($AP$3-Table4[[#This Row],[Green2]])^2 + (2+(255-(($AO$3+Table4[[#This Row],[Red2]])/2))/256 )*($AQ$3-Table4[[#This Row],[Blue2]])^2)</f>
        <v>419.9164118830675</v>
      </c>
      <c r="AN203">
        <f>SQRT(Table4[[#This Row],[diffPrimary]]^2+Table4[[#This Row],[diffSecondary]]^2)</f>
        <v>694.90157239173095</v>
      </c>
      <c r="AO203" s="2">
        <f>SQRT((2+(($AL$3+Table4[[#This Row],[Red2]])/2)/256)*($AL$3-Table4[[#This Row],[Red2]])^2 + 4*($AM$3-Table4[[#This Row],[Green2]])^2 + (2+(255-(($AL$3+Table4[[#This Row],[Red2]])/2))/256 )*($AN$3-Table4[[#This Row],[Blue2]])^2)</f>
        <v>315.01827203949614</v>
      </c>
      <c r="AP203" s="2">
        <f>SQRT((2+(($AO$3+Table4[[#This Row],[Red]])/2)/256)*($AO$3-Table4[[#This Row],[Red]])^2 + 4*($AP$3-Table4[[#This Row],[Green]])^2 + (2+(255-(($AO$3+Table4[[#This Row],[Red]])/2))/256 )*($AQ$3-Table4[[#This Row],[Blue]])^2)</f>
        <v>252.62582725000624</v>
      </c>
      <c r="AQ203" s="2">
        <f>SQRT(Table4[[#This Row],[diffPrimary2]]^2+Table4[[#This Row],[diffSecondary2]]^2)</f>
        <v>403.80232826532836</v>
      </c>
      <c r="AR203" s="786">
        <f>MIN(Table4[[#This Row],[MinOrig]],Table4[[#This Row],[MinSwap]])</f>
        <v>403.80232826532836</v>
      </c>
      <c r="AS203" s="2">
        <v>3.5175342038138</v>
      </c>
      <c r="AX203" s="4"/>
    </row>
    <row r="204" spans="1:50" x14ac:dyDescent="0.25">
      <c r="A204" t="s">
        <v>1</v>
      </c>
      <c r="B204">
        <v>0</v>
      </c>
      <c r="C204">
        <v>48</v>
      </c>
      <c r="D204">
        <v>135</v>
      </c>
      <c r="E204" s="65"/>
      <c r="F204">
        <v>138</v>
      </c>
      <c r="G204">
        <v>141</v>
      </c>
      <c r="H204">
        <v>143</v>
      </c>
      <c r="I204" s="66"/>
      <c r="J204">
        <v>177</v>
      </c>
      <c r="K204">
        <v>179</v>
      </c>
      <c r="L204">
        <v>179</v>
      </c>
      <c r="M204" s="67"/>
      <c r="N204">
        <v>255</v>
      </c>
      <c r="O204">
        <v>199</v>
      </c>
      <c r="P204">
        <v>44</v>
      </c>
      <c r="Q204" s="68"/>
      <c r="R204">
        <v>0</v>
      </c>
      <c r="S204">
        <v>0</v>
      </c>
      <c r="T204">
        <v>0</v>
      </c>
      <c r="U204" s="4"/>
      <c r="Y204" s="4"/>
      <c r="Z204">
        <f t="shared" si="33"/>
        <v>0</v>
      </c>
      <c r="AA204">
        <f t="shared" si="34"/>
        <v>0</v>
      </c>
      <c r="AB204">
        <f t="shared" si="35"/>
        <v>127.5</v>
      </c>
      <c r="AC204" s="26"/>
      <c r="AD204">
        <f t="shared" si="36"/>
        <v>127.5</v>
      </c>
      <c r="AE204">
        <f t="shared" si="37"/>
        <v>127.5</v>
      </c>
      <c r="AF204">
        <f t="shared" si="38"/>
        <v>127.5</v>
      </c>
      <c r="AG204" s="32"/>
      <c r="AH204">
        <f t="shared" si="30"/>
        <v>127.5</v>
      </c>
      <c r="AI204">
        <f t="shared" si="31"/>
        <v>127.5</v>
      </c>
      <c r="AJ204">
        <f t="shared" si="32"/>
        <v>127.5</v>
      </c>
      <c r="AK204" s="32"/>
      <c r="AL204">
        <f>SQRT((2+(($AL$3+Table4[[#This Row],[Red]])/2)/256)*($AL$3-Table4[[#This Row],[Red]])^2 + 4*($AM$3-Table4[[#This Row],[Green]])^2 + (2+(255-(($AL$3+Table4[[#This Row],[Red]])/2))/256 )*($AN$3-Table4[[#This Row],[Blue]])^2)</f>
        <v>553.67716436904823</v>
      </c>
      <c r="AM204">
        <f>SQRT((2+(($AO$3+Table4[[#This Row],[Red2]])/2)/256)*($AO$3-Table4[[#This Row],[Red2]])^2 + 4*($AP$3-Table4[[#This Row],[Green2]])^2 + (2+(255-(($AO$3+Table4[[#This Row],[Red2]])/2))/256 )*($AQ$3-Table4[[#This Row],[Blue2]])^2)</f>
        <v>422.49311200006565</v>
      </c>
      <c r="AN204">
        <f>SQRT(Table4[[#This Row],[diffPrimary]]^2+Table4[[#This Row],[diffSecondary]]^2)</f>
        <v>696.46165151517857</v>
      </c>
      <c r="AO204" s="2">
        <f>SQRT((2+(($AL$3+Table4[[#This Row],[Red2]])/2)/256)*($AL$3-Table4[[#This Row],[Red2]])^2 + 4*($AM$3-Table4[[#This Row],[Green2]])^2 + (2+(255-(($AL$3+Table4[[#This Row],[Red2]])/2))/256 )*($AN$3-Table4[[#This Row],[Blue2]])^2)</f>
        <v>315.97514612505523</v>
      </c>
      <c r="AP204" s="2">
        <f>SQRT((2+(($AO$3+Table4[[#This Row],[Red]])/2)/256)*($AO$3-Table4[[#This Row],[Red]])^2 + 4*($AP$3-Table4[[#This Row],[Green]])^2 + (2+(255-(($AO$3+Table4[[#This Row],[Red]])/2))/256 )*($AQ$3-Table4[[#This Row],[Blue]])^2)</f>
        <v>252.62582725000624</v>
      </c>
      <c r="AQ204" s="2">
        <f>SQRT(Table4[[#This Row],[diffPrimary2]]^2+Table4[[#This Row],[diffSecondary2]]^2)</f>
        <v>404.54925727592183</v>
      </c>
      <c r="AR204" s="786">
        <f>MIN(Table4[[#This Row],[MinOrig]],Table4[[#This Row],[MinSwap]])</f>
        <v>404.54925727592183</v>
      </c>
      <c r="AS204" s="2">
        <v>3.5175342038138</v>
      </c>
      <c r="AX204" s="4"/>
    </row>
    <row r="205" spans="1:50" x14ac:dyDescent="0.25">
      <c r="A205" t="s">
        <v>225</v>
      </c>
      <c r="B205">
        <v>30</v>
      </c>
      <c r="C205">
        <v>22</v>
      </c>
      <c r="D205">
        <v>86</v>
      </c>
      <c r="E205" s="444"/>
      <c r="F205">
        <v>94</v>
      </c>
      <c r="G205">
        <v>106</v>
      </c>
      <c r="H205">
        <v>113</v>
      </c>
      <c r="I205" s="445"/>
      <c r="M205" s="4"/>
      <c r="Q205" s="4"/>
      <c r="U205" s="4"/>
      <c r="Y205" s="4"/>
      <c r="Z205">
        <f t="shared" si="33"/>
        <v>0</v>
      </c>
      <c r="AA205">
        <f t="shared" si="34"/>
        <v>0</v>
      </c>
      <c r="AB205">
        <f t="shared" si="35"/>
        <v>127.5</v>
      </c>
      <c r="AC205" s="26"/>
      <c r="AD205">
        <f t="shared" si="36"/>
        <v>127.5</v>
      </c>
      <c r="AE205">
        <f t="shared" si="37"/>
        <v>127.5</v>
      </c>
      <c r="AF205">
        <f t="shared" si="38"/>
        <v>127.5</v>
      </c>
      <c r="AG205" s="32"/>
      <c r="AH205">
        <f t="shared" si="30"/>
        <v>0</v>
      </c>
      <c r="AI205">
        <f t="shared" si="31"/>
        <v>0</v>
      </c>
      <c r="AJ205">
        <f t="shared" si="32"/>
        <v>0</v>
      </c>
      <c r="AK205" s="4"/>
      <c r="AL205">
        <f>SQRT((2+(($AL$3+Table4[[#This Row],[Red]])/2)/256)*($AL$3-Table4[[#This Row],[Red]])^2 + 4*($AM$3-Table4[[#This Row],[Green]])^2 + (2+(255-(($AL$3+Table4[[#This Row],[Red]])/2))/256 )*($AN$3-Table4[[#This Row],[Blue]])^2)</f>
        <v>530.49799900953917</v>
      </c>
      <c r="AM205">
        <f>SQRT((2+(($AO$3+Table4[[#This Row],[Red2]])/2)/256)*($AO$3-Table4[[#This Row],[Red2]])^2 + 4*($AP$3-Table4[[#This Row],[Green2]])^2 + (2+(255-(($AO$3+Table4[[#This Row],[Red2]])/2))/256 )*($AQ$3-Table4[[#This Row],[Blue2]])^2)</f>
        <v>316.46650197927744</v>
      </c>
      <c r="AN205">
        <f>SQRT(Table4[[#This Row],[diffPrimary]]^2+Table4[[#This Row],[diffSecondary]]^2)</f>
        <v>617.72095142396211</v>
      </c>
      <c r="AO205" s="2">
        <f>SQRT((2+(($AL$3+Table4[[#This Row],[Red2]])/2)/256)*($AL$3-Table4[[#This Row],[Red2]])^2 + 4*($AM$3-Table4[[#This Row],[Green2]])^2 + (2+(255-(($AL$3+Table4[[#This Row],[Red2]])/2))/256 )*($AN$3-Table4[[#This Row],[Blue2]])^2)</f>
        <v>371.84413212225093</v>
      </c>
      <c r="AP205" s="2">
        <f>SQRT((2+(($AO$3+Table4[[#This Row],[Red]])/2)/256)*($AO$3-Table4[[#This Row],[Red]])^2 + 4*($AP$3-Table4[[#This Row],[Green]])^2 + (2+(255-(($AO$3+Table4[[#This Row],[Red]])/2))/256 )*($AQ$3-Table4[[#This Row],[Blue]])^2)</f>
        <v>159.73254012567384</v>
      </c>
      <c r="AQ205" s="2">
        <f>SQRT(Table4[[#This Row],[diffPrimary2]]^2+Table4[[#This Row],[diffSecondary2]]^2)</f>
        <v>404.70055963483668</v>
      </c>
      <c r="AR205" s="786">
        <f>MIN(Table4[[#This Row],[MinOrig]],Table4[[#This Row],[MinSwap]])</f>
        <v>404.70055963483668</v>
      </c>
      <c r="AS205" s="2">
        <v>62.591963591582598</v>
      </c>
      <c r="AX205" s="4"/>
    </row>
    <row r="206" spans="1:50" x14ac:dyDescent="0.25">
      <c r="A206" t="s">
        <v>308</v>
      </c>
      <c r="B206">
        <v>177</v>
      </c>
      <c r="C206">
        <v>2</v>
      </c>
      <c r="D206">
        <v>2</v>
      </c>
      <c r="E206" s="605"/>
      <c r="F206">
        <v>200</v>
      </c>
      <c r="G206">
        <v>200</v>
      </c>
      <c r="H206">
        <v>200</v>
      </c>
      <c r="I206" s="201"/>
      <c r="J206">
        <v>0</v>
      </c>
      <c r="K206">
        <v>0</v>
      </c>
      <c r="L206">
        <v>0</v>
      </c>
      <c r="M206" s="4"/>
      <c r="Q206" s="4"/>
      <c r="U206" s="4"/>
      <c r="Y206" s="4"/>
      <c r="Z206">
        <f t="shared" si="33"/>
        <v>127.5</v>
      </c>
      <c r="AA206">
        <f t="shared" si="34"/>
        <v>0</v>
      </c>
      <c r="AB206">
        <f t="shared" si="35"/>
        <v>0</v>
      </c>
      <c r="AC206" s="27"/>
      <c r="AD206">
        <f t="shared" si="36"/>
        <v>255</v>
      </c>
      <c r="AE206">
        <f t="shared" si="37"/>
        <v>255</v>
      </c>
      <c r="AF206">
        <f t="shared" si="38"/>
        <v>255</v>
      </c>
      <c r="AG206" s="3"/>
      <c r="AH206">
        <f t="shared" si="30"/>
        <v>0</v>
      </c>
      <c r="AI206">
        <f t="shared" si="31"/>
        <v>0</v>
      </c>
      <c r="AJ206">
        <f t="shared" si="32"/>
        <v>0</v>
      </c>
      <c r="AK206" s="4"/>
      <c r="AL206">
        <f>SQRT((2+(($AL$3+Table4[[#This Row],[Red]])/2)/256)*($AL$3-Table4[[#This Row],[Red]])^2 + 4*($AM$3-Table4[[#This Row],[Green]])^2 + (2+(255-(($AL$3+Table4[[#This Row],[Red]])/2))/256 )*($AN$3-Table4[[#This Row],[Blue]])^2)</f>
        <v>426.78564218469205</v>
      </c>
      <c r="AM206">
        <f>SQRT((2+(($AO$3+Table4[[#This Row],[Red2]])/2)/256)*($AO$3-Table4[[#This Row],[Red2]])^2 + 4*($AP$3-Table4[[#This Row],[Green2]])^2 + (2+(255-(($AO$3+Table4[[#This Row],[Red2]])/2))/256 )*($AQ$3-Table4[[#This Row],[Blue2]])^2)</f>
        <v>599.86977753509132</v>
      </c>
      <c r="AN206">
        <f>SQRT(Table4[[#This Row],[diffPrimary]]^2+Table4[[#This Row],[diffSecondary]]^2)</f>
        <v>736.19952076526101</v>
      </c>
      <c r="AO206" s="2">
        <f>SQRT((2+(($AL$3+Table4[[#This Row],[Red2]])/2)/256)*($AL$3-Table4[[#This Row],[Red2]])^2 + 4*($AM$3-Table4[[#This Row],[Green2]])^2 + (2+(255-(($AL$3+Table4[[#This Row],[Red2]])/2))/256 )*($AN$3-Table4[[#This Row],[Blue2]])^2)</f>
        <v>305.18045058927839</v>
      </c>
      <c r="AP206" s="2">
        <f>SQRT((2+(($AO$3+Table4[[#This Row],[Red]])/2)/256)*($AO$3-Table4[[#This Row],[Red]])^2 + 4*($AP$3-Table4[[#This Row],[Green]])^2 + (2+(255-(($AO$3+Table4[[#This Row],[Red]])/2))/256 )*($AQ$3-Table4[[#This Row],[Blue]])^2)</f>
        <v>271.13674550976117</v>
      </c>
      <c r="AQ206" s="2">
        <f>SQRT(Table4[[#This Row],[diffPrimary2]]^2+Table4[[#This Row],[diffSecondary2]]^2)</f>
        <v>408.22817417162673</v>
      </c>
      <c r="AR206" s="786">
        <f>MIN(Table4[[#This Row],[MinOrig]],Table4[[#This Row],[MinSwap]])</f>
        <v>408.22817417162673</v>
      </c>
      <c r="AS206" s="2">
        <v>56.9051945948259</v>
      </c>
      <c r="AX206" s="4"/>
    </row>
    <row r="207" spans="1:50" x14ac:dyDescent="0.25">
      <c r="A207" t="s">
        <v>19</v>
      </c>
      <c r="B207">
        <v>186</v>
      </c>
      <c r="C207">
        <v>12</v>
      </c>
      <c r="D207">
        <v>47</v>
      </c>
      <c r="E207" s="94"/>
      <c r="F207">
        <v>0</v>
      </c>
      <c r="G207">
        <v>0</v>
      </c>
      <c r="H207">
        <v>0</v>
      </c>
      <c r="I207" s="4"/>
      <c r="J207">
        <v>255</v>
      </c>
      <c r="K207">
        <v>255</v>
      </c>
      <c r="L207">
        <v>255</v>
      </c>
      <c r="M207" s="3"/>
      <c r="Q207" s="4"/>
      <c r="U207" s="4"/>
      <c r="Y207" s="4"/>
      <c r="Z207">
        <f t="shared" si="33"/>
        <v>127.5</v>
      </c>
      <c r="AA207">
        <f t="shared" si="34"/>
        <v>0</v>
      </c>
      <c r="AB207">
        <f t="shared" si="35"/>
        <v>0</v>
      </c>
      <c r="AC207" s="27"/>
      <c r="AD207">
        <f t="shared" si="36"/>
        <v>0</v>
      </c>
      <c r="AE207">
        <f t="shared" si="37"/>
        <v>0</v>
      </c>
      <c r="AF207">
        <f t="shared" si="38"/>
        <v>0</v>
      </c>
      <c r="AG207" s="4"/>
      <c r="AH207">
        <f t="shared" si="30"/>
        <v>255</v>
      </c>
      <c r="AI207">
        <f t="shared" si="31"/>
        <v>255</v>
      </c>
      <c r="AJ207">
        <f t="shared" si="32"/>
        <v>255</v>
      </c>
      <c r="AK207" s="3"/>
      <c r="AL207">
        <f>SQRT((2+(($AL$3+Table4[[#This Row],[Red]])/2)/256)*($AL$3-Table4[[#This Row],[Red]])^2 + 4*($AM$3-Table4[[#This Row],[Green]])^2 + (2+(255-(($AL$3+Table4[[#This Row],[Red]])/2))/256 )*($AN$3-Table4[[#This Row],[Blue]])^2)</f>
        <v>409.06537432145245</v>
      </c>
      <c r="AM207">
        <f>SQRT((2+(($AO$3+Table4[[#This Row],[Red2]])/2)/256)*($AO$3-Table4[[#This Row],[Red2]])^2 + 4*($AP$3-Table4[[#This Row],[Green2]])^2 + (2+(255-(($AO$3+Table4[[#This Row],[Red2]])/2))/256 )*($AQ$3-Table4[[#This Row],[Blue2]])^2)</f>
        <v>0</v>
      </c>
      <c r="AN207">
        <f>SQRT(Table4[[#This Row],[diffPrimary]]^2+Table4[[#This Row],[diffSecondary]]^2)</f>
        <v>409.06537432145245</v>
      </c>
      <c r="AO207" s="2">
        <f>SQRT((2+(($AL$3+Table4[[#This Row],[Red2]])/2)/256)*($AL$3-Table4[[#This Row],[Red2]])^2 + 4*($AM$3-Table4[[#This Row],[Green2]])^2 + (2+(255-(($AL$3+Table4[[#This Row],[Red2]])/2))/256 )*($AN$3-Table4[[#This Row],[Blue2]])^2)</f>
        <v>574.92216694686158</v>
      </c>
      <c r="AP207" s="2">
        <f>SQRT((2+(($AO$3+Table4[[#This Row],[Red]])/2)/256)*($AO$3-Table4[[#This Row],[Red]])^2 + 4*($AP$3-Table4[[#This Row],[Green]])^2 + (2+(255-(($AO$3+Table4[[#This Row],[Red]])/2))/256 )*($AQ$3-Table4[[#This Row],[Blue]])^2)</f>
        <v>296.90395911388583</v>
      </c>
      <c r="AQ207" s="2">
        <f>SQRT(Table4[[#This Row],[diffPrimary2]]^2+Table4[[#This Row],[diffSecondary2]]^2)</f>
        <v>647.06063006829197</v>
      </c>
      <c r="AR207" s="786">
        <f>MIN(Table4[[#This Row],[MinOrig]],Table4[[#This Row],[MinSwap]])</f>
        <v>409.06537432145245</v>
      </c>
      <c r="AS207" s="2">
        <v>0</v>
      </c>
      <c r="AX207" s="4"/>
    </row>
    <row r="208" spans="1:50" x14ac:dyDescent="0.25">
      <c r="A208" t="s">
        <v>98</v>
      </c>
      <c r="B208">
        <v>186</v>
      </c>
      <c r="C208">
        <v>12</v>
      </c>
      <c r="D208">
        <v>47</v>
      </c>
      <c r="E208" s="94"/>
      <c r="F208">
        <v>0</v>
      </c>
      <c r="G208">
        <v>0</v>
      </c>
      <c r="H208">
        <v>0</v>
      </c>
      <c r="I208" s="4"/>
      <c r="J208">
        <v>255</v>
      </c>
      <c r="K208">
        <v>255</v>
      </c>
      <c r="L208">
        <v>255</v>
      </c>
      <c r="M208" s="3"/>
      <c r="Q208" s="4"/>
      <c r="U208" s="4"/>
      <c r="Y208" s="4"/>
      <c r="Z208">
        <f t="shared" si="33"/>
        <v>127.5</v>
      </c>
      <c r="AA208">
        <f t="shared" si="34"/>
        <v>0</v>
      </c>
      <c r="AB208">
        <f t="shared" si="35"/>
        <v>0</v>
      </c>
      <c r="AC208" s="27"/>
      <c r="AD208">
        <f t="shared" si="36"/>
        <v>0</v>
      </c>
      <c r="AE208">
        <f t="shared" si="37"/>
        <v>0</v>
      </c>
      <c r="AF208">
        <f t="shared" si="38"/>
        <v>0</v>
      </c>
      <c r="AG208" s="4"/>
      <c r="AH208">
        <f t="shared" si="30"/>
        <v>255</v>
      </c>
      <c r="AI208">
        <f t="shared" si="31"/>
        <v>255</v>
      </c>
      <c r="AJ208">
        <f t="shared" si="32"/>
        <v>255</v>
      </c>
      <c r="AK208" s="3"/>
      <c r="AL208">
        <f>SQRT((2+(($AL$3+Table4[[#This Row],[Red]])/2)/256)*($AL$3-Table4[[#This Row],[Red]])^2 + 4*($AM$3-Table4[[#This Row],[Green]])^2 + (2+(255-(($AL$3+Table4[[#This Row],[Red]])/2))/256 )*($AN$3-Table4[[#This Row],[Blue]])^2)</f>
        <v>409.06537432145245</v>
      </c>
      <c r="AM208">
        <f>SQRT((2+(($AO$3+Table4[[#This Row],[Red2]])/2)/256)*($AO$3-Table4[[#This Row],[Red2]])^2 + 4*($AP$3-Table4[[#This Row],[Green2]])^2 + (2+(255-(($AO$3+Table4[[#This Row],[Red2]])/2))/256 )*($AQ$3-Table4[[#This Row],[Blue2]])^2)</f>
        <v>0</v>
      </c>
      <c r="AN208">
        <f>SQRT(Table4[[#This Row],[diffPrimary]]^2+Table4[[#This Row],[diffSecondary]]^2)</f>
        <v>409.06537432145245</v>
      </c>
      <c r="AO208" s="2">
        <f>SQRT((2+(($AL$3+Table4[[#This Row],[Red2]])/2)/256)*($AL$3-Table4[[#This Row],[Red2]])^2 + 4*($AM$3-Table4[[#This Row],[Green2]])^2 + (2+(255-(($AL$3+Table4[[#This Row],[Red2]])/2))/256 )*($AN$3-Table4[[#This Row],[Blue2]])^2)</f>
        <v>574.92216694686158</v>
      </c>
      <c r="AP208" s="2">
        <f>SQRT((2+(($AO$3+Table4[[#This Row],[Red]])/2)/256)*($AO$3-Table4[[#This Row],[Red]])^2 + 4*($AP$3-Table4[[#This Row],[Green]])^2 + (2+(255-(($AO$3+Table4[[#This Row],[Red]])/2))/256 )*($AQ$3-Table4[[#This Row],[Blue]])^2)</f>
        <v>296.90395911388583</v>
      </c>
      <c r="AQ208" s="2">
        <f>SQRT(Table4[[#This Row],[diffPrimary2]]^2+Table4[[#This Row],[diffSecondary2]]^2)</f>
        <v>647.06063006829197</v>
      </c>
      <c r="AR208" s="786">
        <f>MIN(Table4[[#This Row],[MinOrig]],Table4[[#This Row],[MinSwap]])</f>
        <v>409.06537432145245</v>
      </c>
      <c r="AS208" s="2">
        <v>0</v>
      </c>
      <c r="AX208" s="4"/>
    </row>
    <row r="209" spans="1:50" x14ac:dyDescent="0.25">
      <c r="A209" t="s">
        <v>151</v>
      </c>
      <c r="B209">
        <v>164</v>
      </c>
      <c r="C209">
        <v>52</v>
      </c>
      <c r="D209">
        <v>58</v>
      </c>
      <c r="E209" s="347"/>
      <c r="F209">
        <v>0</v>
      </c>
      <c r="G209">
        <v>56</v>
      </c>
      <c r="H209">
        <v>101</v>
      </c>
      <c r="I209" s="125"/>
      <c r="J209">
        <v>99</v>
      </c>
      <c r="K209">
        <v>102</v>
      </c>
      <c r="L209">
        <v>106</v>
      </c>
      <c r="M209" s="348"/>
      <c r="N209">
        <v>0</v>
      </c>
      <c r="O209">
        <v>0</v>
      </c>
      <c r="P209">
        <v>0</v>
      </c>
      <c r="Q209" s="4"/>
      <c r="U209" s="4"/>
      <c r="Y209" s="4"/>
      <c r="Z209">
        <f t="shared" si="33"/>
        <v>127.5</v>
      </c>
      <c r="AA209">
        <f t="shared" si="34"/>
        <v>0</v>
      </c>
      <c r="AB209">
        <f t="shared" si="35"/>
        <v>0</v>
      </c>
      <c r="AC209" s="27"/>
      <c r="AD209">
        <f t="shared" si="36"/>
        <v>0</v>
      </c>
      <c r="AE209">
        <f t="shared" si="37"/>
        <v>0</v>
      </c>
      <c r="AF209">
        <f t="shared" si="38"/>
        <v>127.5</v>
      </c>
      <c r="AG209" s="26"/>
      <c r="AH209">
        <f t="shared" si="30"/>
        <v>127.5</v>
      </c>
      <c r="AI209">
        <f t="shared" si="31"/>
        <v>127.5</v>
      </c>
      <c r="AJ209">
        <f t="shared" si="32"/>
        <v>127.5</v>
      </c>
      <c r="AK209" s="32"/>
      <c r="AL209">
        <f>SQRT((2+(($AL$3+Table4[[#This Row],[Red]])/2)/256)*($AL$3-Table4[[#This Row],[Red]])^2 + 4*($AM$3-Table4[[#This Row],[Green]])^2 + (2+(255-(($AL$3+Table4[[#This Row],[Red]])/2))/256 )*($AN$3-Table4[[#This Row],[Blue]])^2)</f>
        <v>352.56308998798357</v>
      </c>
      <c r="AM209">
        <f>SQRT((2+(($AO$3+Table4[[#This Row],[Red2]])/2)/256)*($AO$3-Table4[[#This Row],[Red2]])^2 + 4*($AP$3-Table4[[#This Row],[Green2]])^2 + (2+(255-(($AO$3+Table4[[#This Row],[Red2]])/2))/256 )*($AQ$3-Table4[[#This Row],[Blue2]])^2)</f>
        <v>207.62262001947187</v>
      </c>
      <c r="AN209">
        <f>SQRT(Table4[[#This Row],[diffPrimary]]^2+Table4[[#This Row],[diffSecondary]]^2)</f>
        <v>409.15508644721137</v>
      </c>
      <c r="AO209" s="2">
        <f>SQRT((2+(($AL$3+Table4[[#This Row],[Red2]])/2)/256)*($AL$3-Table4[[#This Row],[Red2]])^2 + 4*($AM$3-Table4[[#This Row],[Green2]])^2 + (2+(255-(($AL$3+Table4[[#This Row],[Red2]])/2))/256 )*($AN$3-Table4[[#This Row],[Blue2]])^2)</f>
        <v>526.04379496269132</v>
      </c>
      <c r="AP209" s="2">
        <f>SQRT((2+(($AO$3+Table4[[#This Row],[Red]])/2)/256)*($AO$3-Table4[[#This Row],[Red]])^2 + 4*($AP$3-Table4[[#This Row],[Green]])^2 + (2+(255-(($AO$3+Table4[[#This Row],[Red]])/2))/256 )*($AQ$3-Table4[[#This Row],[Blue]])^2)</f>
        <v>286.74806559940384</v>
      </c>
      <c r="AQ209" s="2">
        <f>SQRT(Table4[[#This Row],[diffPrimary2]]^2+Table4[[#This Row],[diffSecondary2]]^2)</f>
        <v>599.12146293030594</v>
      </c>
      <c r="AR209" s="786">
        <f>MIN(Table4[[#This Row],[MinOrig]],Table4[[#This Row],[MinSwap]])</f>
        <v>409.15508644721137</v>
      </c>
      <c r="AS209" s="2">
        <v>85.629767203058506</v>
      </c>
      <c r="AX209" s="4"/>
    </row>
    <row r="210" spans="1:50" x14ac:dyDescent="0.25">
      <c r="A210" t="s">
        <v>245</v>
      </c>
      <c r="B210">
        <v>0</v>
      </c>
      <c r="C210">
        <v>38</v>
      </c>
      <c r="D210">
        <v>73</v>
      </c>
      <c r="E210" s="471"/>
      <c r="F210">
        <v>196</v>
      </c>
      <c r="G210">
        <v>22</v>
      </c>
      <c r="H210">
        <v>29</v>
      </c>
      <c r="I210" s="472"/>
      <c r="M210" s="4"/>
      <c r="Q210" s="4"/>
      <c r="U210" s="4"/>
      <c r="Y210" s="4"/>
      <c r="Z210">
        <f t="shared" si="33"/>
        <v>0</v>
      </c>
      <c r="AA210">
        <f t="shared" si="34"/>
        <v>0</v>
      </c>
      <c r="AB210">
        <f t="shared" si="35"/>
        <v>127.5</v>
      </c>
      <c r="AC210" s="26"/>
      <c r="AD210">
        <f t="shared" si="36"/>
        <v>255</v>
      </c>
      <c r="AE210">
        <f t="shared" si="37"/>
        <v>0</v>
      </c>
      <c r="AF210">
        <f t="shared" si="38"/>
        <v>0</v>
      </c>
      <c r="AG210" s="5"/>
      <c r="AH210">
        <f t="shared" si="30"/>
        <v>0</v>
      </c>
      <c r="AI210">
        <f t="shared" si="31"/>
        <v>0</v>
      </c>
      <c r="AJ210">
        <f t="shared" si="32"/>
        <v>0</v>
      </c>
      <c r="AK210" s="4"/>
      <c r="AL210">
        <f>SQRT((2+(($AL$3+Table4[[#This Row],[Red]])/2)/256)*($AL$3-Table4[[#This Row],[Red]])^2 + 4*($AM$3-Table4[[#This Row],[Green]])^2 + (2+(255-(($AL$3+Table4[[#This Row],[Red]])/2))/256 )*($AN$3-Table4[[#This Row],[Blue]])^2)</f>
        <v>536.00708003136492</v>
      </c>
      <c r="AM210">
        <f>SQRT((2+(($AO$3+Table4[[#This Row],[Red2]])/2)/256)*($AO$3-Table4[[#This Row],[Red2]])^2 + 4*($AP$3-Table4[[#This Row],[Green2]])^2 + (2+(255-(($AO$3+Table4[[#This Row],[Red2]])/2))/256 )*($AQ$3-Table4[[#This Row],[Blue2]])^2)</f>
        <v>309.30873659056255</v>
      </c>
      <c r="AN210">
        <f>SQRT(Table4[[#This Row],[diffPrimary]]^2+Table4[[#This Row],[diffSecondary]]^2)</f>
        <v>618.85013078692975</v>
      </c>
      <c r="AO210" s="2">
        <f>SQRT((2+(($AL$3+Table4[[#This Row],[Red2]])/2)/256)*($AL$3-Table4[[#This Row],[Red2]])^2 + 4*($AM$3-Table4[[#This Row],[Green2]])^2 + (2+(255-(($AL$3+Table4[[#This Row],[Red2]])/2))/256 )*($AN$3-Table4[[#This Row],[Blue2]])^2)</f>
        <v>381.78944929600925</v>
      </c>
      <c r="AP210" s="2">
        <f>SQRT((2+(($AO$3+Table4[[#This Row],[Red]])/2)/256)*($AO$3-Table4[[#This Row],[Red]])^2 + 4*($AP$3-Table4[[#This Row],[Green]])^2 + (2+(255-(($AO$3+Table4[[#This Row],[Red]])/2))/256 )*($AQ$3-Table4[[#This Row],[Blue]])^2)</f>
        <v>147.45230955719208</v>
      </c>
      <c r="AQ210" s="2">
        <f>SQRT(Table4[[#This Row],[diffPrimary2]]^2+Table4[[#This Row],[diffSecondary2]]^2)</f>
        <v>409.27419560424283</v>
      </c>
      <c r="AR210" s="786">
        <f>MIN(Table4[[#This Row],[MinOrig]],Table4[[#This Row],[MinSwap]])</f>
        <v>409.27419560424283</v>
      </c>
      <c r="AS210" s="2">
        <v>35.570682274873498</v>
      </c>
      <c r="AX210" s="4"/>
    </row>
    <row r="211" spans="1:50" x14ac:dyDescent="0.25">
      <c r="A211" t="s">
        <v>24</v>
      </c>
      <c r="B211">
        <v>214</v>
      </c>
      <c r="C211">
        <v>67</v>
      </c>
      <c r="D211">
        <v>9</v>
      </c>
      <c r="E211" s="104"/>
      <c r="F211">
        <v>0</v>
      </c>
      <c r="G211">
        <v>51</v>
      </c>
      <c r="H211">
        <v>160</v>
      </c>
      <c r="I211" s="105"/>
      <c r="M211" s="4"/>
      <c r="Q211" s="4"/>
      <c r="U211" s="4"/>
      <c r="Y211" s="4"/>
      <c r="Z211">
        <f t="shared" si="33"/>
        <v>255</v>
      </c>
      <c r="AA211">
        <f t="shared" si="34"/>
        <v>127.5</v>
      </c>
      <c r="AB211">
        <f t="shared" si="35"/>
        <v>0</v>
      </c>
      <c r="AC211" s="28"/>
      <c r="AD211">
        <f t="shared" si="36"/>
        <v>0</v>
      </c>
      <c r="AE211">
        <f t="shared" si="37"/>
        <v>0</v>
      </c>
      <c r="AF211">
        <f t="shared" si="38"/>
        <v>127.5</v>
      </c>
      <c r="AG211" s="26"/>
      <c r="AH211">
        <f t="shared" si="30"/>
        <v>0</v>
      </c>
      <c r="AI211">
        <f t="shared" si="31"/>
        <v>0</v>
      </c>
      <c r="AJ211">
        <f t="shared" si="32"/>
        <v>0</v>
      </c>
      <c r="AK211" s="4"/>
      <c r="AL211">
        <f>SQRT((2+(($AL$3+Table4[[#This Row],[Red]])/2)/256)*($AL$3-Table4[[#This Row],[Red]])^2 + 4*($AM$3-Table4[[#This Row],[Green]])^2 + (2+(255-(($AL$3+Table4[[#This Row],[Red]])/2))/256 )*($AN$3-Table4[[#This Row],[Blue]])^2)</f>
        <v>285.03738104632873</v>
      </c>
      <c r="AM211">
        <f>SQRT((2+(($AO$3+Table4[[#This Row],[Red2]])/2)/256)*($AO$3-Table4[[#This Row],[Red2]])^2 + 4*($AP$3-Table4[[#This Row],[Green2]])^2 + (2+(255-(($AO$3+Table4[[#This Row],[Red2]])/2))/256 )*($AQ$3-Table4[[#This Row],[Blue2]])^2)</f>
        <v>295.13386793114745</v>
      </c>
      <c r="AN211">
        <f>SQRT(Table4[[#This Row],[diffPrimary]]^2+Table4[[#This Row],[diffSecondary]]^2)</f>
        <v>410.30514083271004</v>
      </c>
      <c r="AO211" s="2">
        <f>SQRT((2+(($AL$3+Table4[[#This Row],[Red2]])/2)/256)*($AL$3-Table4[[#This Row],[Red2]])^2 + 4*($AM$3-Table4[[#This Row],[Green2]])^2 + (2+(255-(($AL$3+Table4[[#This Row],[Red2]])/2))/256 )*($AN$3-Table4[[#This Row],[Blue2]])^2)</f>
        <v>566.78875963349435</v>
      </c>
      <c r="AP211" s="2">
        <f>SQRT((2+(($AO$3+Table4[[#This Row],[Red]])/2)/256)*($AO$3-Table4[[#This Row],[Red]])^2 + 4*($AP$3-Table4[[#This Row],[Green]])^2 + (2+(255-(($AO$3+Table4[[#This Row],[Red]])/2))/256 )*($AQ$3-Table4[[#This Row],[Blue]])^2)</f>
        <v>359.02385018268632</v>
      </c>
      <c r="AQ211" s="2">
        <f>SQRT(Table4[[#This Row],[diffPrimary2]]^2+Table4[[#This Row],[diffSecondary2]]^2)</f>
        <v>670.93041595002614</v>
      </c>
      <c r="AR211" s="786">
        <f>MIN(Table4[[#This Row],[MinOrig]],Table4[[#This Row],[MinSwap]])</f>
        <v>410.30514083271004</v>
      </c>
      <c r="AS211" s="2">
        <v>68.310755924671199</v>
      </c>
      <c r="AX211" s="4"/>
    </row>
    <row r="212" spans="1:50" x14ac:dyDescent="0.25">
      <c r="A212" t="s">
        <v>264</v>
      </c>
      <c r="B212">
        <v>114</v>
      </c>
      <c r="C212">
        <v>0</v>
      </c>
      <c r="D212">
        <v>0</v>
      </c>
      <c r="E212" s="493"/>
      <c r="F212">
        <v>255</v>
      </c>
      <c r="G212">
        <v>255</v>
      </c>
      <c r="H212">
        <v>255</v>
      </c>
      <c r="I212" s="3"/>
      <c r="J212">
        <v>0</v>
      </c>
      <c r="K212">
        <v>0</v>
      </c>
      <c r="L212">
        <v>0</v>
      </c>
      <c r="M212" s="4"/>
      <c r="Q212" s="4"/>
      <c r="U212" s="4"/>
      <c r="Y212" s="4"/>
      <c r="Z212">
        <f t="shared" si="33"/>
        <v>127.5</v>
      </c>
      <c r="AA212">
        <f t="shared" si="34"/>
        <v>0</v>
      </c>
      <c r="AB212">
        <f t="shared" si="35"/>
        <v>0</v>
      </c>
      <c r="AC212" s="27"/>
      <c r="AD212">
        <f t="shared" si="36"/>
        <v>255</v>
      </c>
      <c r="AE212">
        <f t="shared" si="37"/>
        <v>255</v>
      </c>
      <c r="AF212">
        <f t="shared" si="38"/>
        <v>255</v>
      </c>
      <c r="AG212" s="3"/>
      <c r="AH212">
        <f t="shared" si="30"/>
        <v>0</v>
      </c>
      <c r="AI212">
        <f t="shared" si="31"/>
        <v>0</v>
      </c>
      <c r="AJ212">
        <f t="shared" si="32"/>
        <v>0</v>
      </c>
      <c r="AK212" s="4"/>
      <c r="AL212">
        <f>SQRT((2+(($AL$3+Table4[[#This Row],[Red]])/2)/256)*($AL$3-Table4[[#This Row],[Red]])^2 + 4*($AM$3-Table4[[#This Row],[Green]])^2 + (2+(255-(($AL$3+Table4[[#This Row],[Red]])/2))/256 )*($AN$3-Table4[[#This Row],[Blue]])^2)</f>
        <v>471.37065970224006</v>
      </c>
      <c r="AM212">
        <f>SQRT((2+(($AO$3+Table4[[#This Row],[Red2]])/2)/256)*($AO$3-Table4[[#This Row],[Red2]])^2 + 4*($AP$3-Table4[[#This Row],[Green2]])^2 + (2+(255-(($AO$3+Table4[[#This Row],[Red2]])/2))/256 )*($AQ$3-Table4[[#This Row],[Blue2]])^2)</f>
        <v>764.83396635724148</v>
      </c>
      <c r="AN212">
        <f>SQRT(Table4[[#This Row],[diffPrimary]]^2+Table4[[#This Row],[diffSecondary]]^2)</f>
        <v>898.42155746724768</v>
      </c>
      <c r="AO212" s="2">
        <f>SQRT((2+(($AL$3+Table4[[#This Row],[Red2]])/2)/256)*($AL$3-Table4[[#This Row],[Red2]])^2 + 4*($AM$3-Table4[[#This Row],[Green2]])^2 + (2+(255-(($AL$3+Table4[[#This Row],[Red2]])/2))/256 )*($AN$3-Table4[[#This Row],[Blue2]])^2)</f>
        <v>374.23254802328461</v>
      </c>
      <c r="AP212" s="2">
        <f>SQRT((2+(($AO$3+Table4[[#This Row],[Red]])/2)/256)*($AO$3-Table4[[#This Row],[Red]])^2 + 4*($AP$3-Table4[[#This Row],[Green]])^2 + (2+(255-(($AO$3+Table4[[#This Row],[Red]])/2))/256 )*($AQ$3-Table4[[#This Row],[Blue]])^2)</f>
        <v>169.95776129674101</v>
      </c>
      <c r="AQ212" s="2">
        <f>SQRT(Table4[[#This Row],[diffPrimary2]]^2+Table4[[#This Row],[diffSecondary2]]^2)</f>
        <v>411.01781059340971</v>
      </c>
      <c r="AR212" s="786">
        <f>MIN(Table4[[#This Row],[MinOrig]],Table4[[#This Row],[MinSwap]])</f>
        <v>411.01781059340971</v>
      </c>
      <c r="AS212" s="2">
        <v>18.674849396983099</v>
      </c>
      <c r="AX212" s="4"/>
    </row>
    <row r="213" spans="1:50" x14ac:dyDescent="0.25">
      <c r="A213" t="s">
        <v>226</v>
      </c>
      <c r="B213">
        <v>21</v>
      </c>
      <c r="C213">
        <v>71</v>
      </c>
      <c r="D213">
        <v>52</v>
      </c>
      <c r="E213" s="446"/>
      <c r="F213">
        <v>255</v>
      </c>
      <c r="G213">
        <v>255</v>
      </c>
      <c r="H213">
        <v>255</v>
      </c>
      <c r="I213" s="3"/>
      <c r="J213">
        <v>214</v>
      </c>
      <c r="K213">
        <v>214</v>
      </c>
      <c r="L213">
        <v>209</v>
      </c>
      <c r="M213" s="447"/>
      <c r="N213">
        <v>55</v>
      </c>
      <c r="O213">
        <v>58</v>
      </c>
      <c r="P213">
        <v>54</v>
      </c>
      <c r="Q213" s="448"/>
      <c r="R213">
        <v>44</v>
      </c>
      <c r="S213">
        <v>42</v>
      </c>
      <c r="T213">
        <v>41</v>
      </c>
      <c r="U213" s="406"/>
      <c r="Y213" s="4"/>
      <c r="Z213">
        <f t="shared" si="33"/>
        <v>0</v>
      </c>
      <c r="AA213">
        <f t="shared" si="34"/>
        <v>127.5</v>
      </c>
      <c r="AB213">
        <f t="shared" si="35"/>
        <v>0</v>
      </c>
      <c r="AC213" s="34"/>
      <c r="AD213">
        <f t="shared" si="36"/>
        <v>255</v>
      </c>
      <c r="AE213">
        <f t="shared" si="37"/>
        <v>255</v>
      </c>
      <c r="AF213">
        <f t="shared" si="38"/>
        <v>255</v>
      </c>
      <c r="AG213" s="3"/>
      <c r="AH213">
        <f t="shared" si="30"/>
        <v>255</v>
      </c>
      <c r="AI213">
        <f t="shared" si="31"/>
        <v>255</v>
      </c>
      <c r="AJ213">
        <f t="shared" si="32"/>
        <v>255</v>
      </c>
      <c r="AK213" s="3"/>
      <c r="AL213">
        <f>SQRT((2+(($AL$3+Table4[[#This Row],[Red]])/2)/256)*($AL$3-Table4[[#This Row],[Red]])^2 + 4*($AM$3-Table4[[#This Row],[Green]])^2 + (2+(255-(($AL$3+Table4[[#This Row],[Red]])/2))/256 )*($AN$3-Table4[[#This Row],[Blue]])^2)</f>
        <v>466.36543477191788</v>
      </c>
      <c r="AM213">
        <f>SQRT((2+(($AO$3+Table4[[#This Row],[Red2]])/2)/256)*($AO$3-Table4[[#This Row],[Red2]])^2 + 4*($AP$3-Table4[[#This Row],[Green2]])^2 + (2+(255-(($AO$3+Table4[[#This Row],[Red2]])/2))/256 )*($AQ$3-Table4[[#This Row],[Blue2]])^2)</f>
        <v>764.83396635724148</v>
      </c>
      <c r="AN213">
        <f>SQRT(Table4[[#This Row],[diffPrimary]]^2+Table4[[#This Row],[diffSecondary]]^2)</f>
        <v>895.80562336019636</v>
      </c>
      <c r="AO213" s="2">
        <f>SQRT((2+(($AL$3+Table4[[#This Row],[Red2]])/2)/256)*($AL$3-Table4[[#This Row],[Red2]])^2 + 4*($AM$3-Table4[[#This Row],[Green2]])^2 + (2+(255-(($AL$3+Table4[[#This Row],[Red2]])/2))/256 )*($AN$3-Table4[[#This Row],[Blue2]])^2)</f>
        <v>374.23254802328461</v>
      </c>
      <c r="AP213" s="2">
        <f>SQRT((2+(($AO$3+Table4[[#This Row],[Red]])/2)/256)*($AO$3-Table4[[#This Row],[Red]])^2 + 4*($AP$3-Table4[[#This Row],[Green]])^2 + (2+(255-(($AO$3+Table4[[#This Row],[Red]])/2))/256 )*($AQ$3-Table4[[#This Row],[Blue]])^2)</f>
        <v>170.45415553932676</v>
      </c>
      <c r="AQ213" s="2">
        <f>SQRT(Table4[[#This Row],[diffPrimary2]]^2+Table4[[#This Row],[diffSecondary2]]^2)</f>
        <v>411.22332027819755</v>
      </c>
      <c r="AR213" s="786">
        <f>MIN(Table4[[#This Row],[MinOrig]],Table4[[#This Row],[MinSwap]])</f>
        <v>411.22332027819755</v>
      </c>
      <c r="AS213" s="2">
        <v>13.3151405831857</v>
      </c>
      <c r="AX213" s="4"/>
    </row>
    <row r="214" spans="1:50" x14ac:dyDescent="0.25">
      <c r="A214" t="s">
        <v>271</v>
      </c>
      <c r="B214">
        <v>189</v>
      </c>
      <c r="C214">
        <v>31</v>
      </c>
      <c r="D214">
        <v>37</v>
      </c>
      <c r="E214" s="503"/>
      <c r="F214">
        <v>121</v>
      </c>
      <c r="G214">
        <v>0</v>
      </c>
      <c r="H214">
        <v>0</v>
      </c>
      <c r="I214" s="504"/>
      <c r="J214">
        <v>142</v>
      </c>
      <c r="K214">
        <v>144</v>
      </c>
      <c r="L214">
        <v>143</v>
      </c>
      <c r="M214" s="505"/>
      <c r="N214">
        <v>0</v>
      </c>
      <c r="O214">
        <v>0</v>
      </c>
      <c r="P214">
        <v>0</v>
      </c>
      <c r="Q214" s="4"/>
      <c r="U214" s="4"/>
      <c r="Y214" s="4"/>
      <c r="Z214">
        <f t="shared" si="33"/>
        <v>127.5</v>
      </c>
      <c r="AA214">
        <f t="shared" si="34"/>
        <v>0</v>
      </c>
      <c r="AB214">
        <f t="shared" si="35"/>
        <v>0</v>
      </c>
      <c r="AC214" s="27"/>
      <c r="AD214">
        <f t="shared" si="36"/>
        <v>127.5</v>
      </c>
      <c r="AE214">
        <f t="shared" si="37"/>
        <v>0</v>
      </c>
      <c r="AF214">
        <f t="shared" si="38"/>
        <v>0</v>
      </c>
      <c r="AG214" s="27"/>
      <c r="AH214">
        <f t="shared" si="30"/>
        <v>127.5</v>
      </c>
      <c r="AI214">
        <f t="shared" si="31"/>
        <v>127.5</v>
      </c>
      <c r="AJ214">
        <f t="shared" si="32"/>
        <v>127.5</v>
      </c>
      <c r="AK214" s="32"/>
      <c r="AL214">
        <f>SQRT((2+(($AL$3+Table4[[#This Row],[Red]])/2)/256)*($AL$3-Table4[[#This Row],[Red]])^2 + 4*($AM$3-Table4[[#This Row],[Green]])^2 + (2+(255-(($AL$3+Table4[[#This Row],[Red]])/2))/256 )*($AN$3-Table4[[#This Row],[Blue]])^2)</f>
        <v>369.46981122447608</v>
      </c>
      <c r="AM214">
        <f>SQRT((2+(($AO$3+Table4[[#This Row],[Red2]])/2)/256)*($AO$3-Table4[[#This Row],[Red2]])^2 + 4*($AP$3-Table4[[#This Row],[Green2]])^2 + (2+(255-(($AO$3+Table4[[#This Row],[Red2]])/2))/256 )*($AQ$3-Table4[[#This Row],[Blue2]])^2)</f>
        <v>180.94772747433166</v>
      </c>
      <c r="AN214">
        <f>SQRT(Table4[[#This Row],[diffPrimary]]^2+Table4[[#This Row],[diffSecondary]]^2)</f>
        <v>411.40007472577713</v>
      </c>
      <c r="AO214" s="2">
        <f>SQRT((2+(($AL$3+Table4[[#This Row],[Red2]])/2)/256)*($AL$3-Table4[[#This Row],[Red2]])^2 + 4*($AM$3-Table4[[#This Row],[Green2]])^2 + (2+(255-(($AL$3+Table4[[#This Row],[Red2]])/2))/256 )*($AN$3-Table4[[#This Row],[Blue2]])^2)</f>
        <v>466.04553157390103</v>
      </c>
      <c r="AP214" s="2">
        <f>SQRT((2+(($AO$3+Table4[[#This Row],[Red]])/2)/256)*($AO$3-Table4[[#This Row],[Red]])^2 + 4*($AP$3-Table4[[#This Row],[Green]])^2 + (2+(255-(($AO$3+Table4[[#This Row],[Red]])/2))/256 )*($AQ$3-Table4[[#This Row],[Blue]])^2)</f>
        <v>303.42770324040947</v>
      </c>
      <c r="AQ214" s="2">
        <f>SQRT(Table4[[#This Row],[diffPrimary2]]^2+Table4[[#This Row],[diffSecondary2]]^2)</f>
        <v>556.11762118615695</v>
      </c>
      <c r="AR214" s="786">
        <f>MIN(Table4[[#This Row],[MinOrig]],Table4[[#This Row],[MinSwap]])</f>
        <v>411.40007472577713</v>
      </c>
      <c r="AS214" s="2">
        <v>84.951594673084301</v>
      </c>
      <c r="AX214" s="4"/>
    </row>
    <row r="215" spans="1:50" x14ac:dyDescent="0.25">
      <c r="A215" t="s">
        <v>167</v>
      </c>
      <c r="B215">
        <v>24</v>
      </c>
      <c r="C215">
        <v>69</v>
      </c>
      <c r="D215">
        <v>59</v>
      </c>
      <c r="E215" s="353"/>
      <c r="F215">
        <v>255</v>
      </c>
      <c r="G215">
        <v>255</v>
      </c>
      <c r="H215">
        <v>255</v>
      </c>
      <c r="I215" s="3"/>
      <c r="M215" s="4"/>
      <c r="Q215" s="4"/>
      <c r="U215" s="4"/>
      <c r="Y215" s="4"/>
      <c r="Z215">
        <f t="shared" si="33"/>
        <v>0</v>
      </c>
      <c r="AA215">
        <f t="shared" si="34"/>
        <v>127.5</v>
      </c>
      <c r="AB215">
        <f t="shared" si="35"/>
        <v>0</v>
      </c>
      <c r="AC215" s="34"/>
      <c r="AD215">
        <f t="shared" si="36"/>
        <v>255</v>
      </c>
      <c r="AE215">
        <f t="shared" si="37"/>
        <v>255</v>
      </c>
      <c r="AF215">
        <f t="shared" si="38"/>
        <v>255</v>
      </c>
      <c r="AG215" s="3"/>
      <c r="AH215">
        <f t="shared" si="30"/>
        <v>0</v>
      </c>
      <c r="AI215">
        <f t="shared" si="31"/>
        <v>0</v>
      </c>
      <c r="AJ215">
        <f t="shared" si="32"/>
        <v>0</v>
      </c>
      <c r="AK215" s="4"/>
      <c r="AL215">
        <f>SQRT((2+(($AL$3+Table4[[#This Row],[Red]])/2)/256)*($AL$3-Table4[[#This Row],[Red]])^2 + 4*($AM$3-Table4[[#This Row],[Green]])^2 + (2+(255-(($AL$3+Table4[[#This Row],[Red]])/2))/256 )*($AN$3-Table4[[#This Row],[Blue]])^2)</f>
        <v>467.24309033815575</v>
      </c>
      <c r="AM215">
        <f>SQRT((2+(($AO$3+Table4[[#This Row],[Red2]])/2)/256)*($AO$3-Table4[[#This Row],[Red2]])^2 + 4*($AP$3-Table4[[#This Row],[Green2]])^2 + (2+(255-(($AO$3+Table4[[#This Row],[Red2]])/2))/256 )*($AQ$3-Table4[[#This Row],[Blue2]])^2)</f>
        <v>764.83396635724148</v>
      </c>
      <c r="AN215">
        <f>SQRT(Table4[[#This Row],[diffPrimary]]^2+Table4[[#This Row],[diffSecondary]]^2)</f>
        <v>896.26285294131208</v>
      </c>
      <c r="AO215" s="2">
        <f>SQRT((2+(($AL$3+Table4[[#This Row],[Red2]])/2)/256)*($AL$3-Table4[[#This Row],[Red2]])^2 + 4*($AM$3-Table4[[#This Row],[Green2]])^2 + (2+(255-(($AL$3+Table4[[#This Row],[Red2]])/2))/256 )*($AN$3-Table4[[#This Row],[Blue2]])^2)</f>
        <v>374.23254802328461</v>
      </c>
      <c r="AP215" s="2">
        <f>SQRT((2+(($AO$3+Table4[[#This Row],[Red]])/2)/256)*($AO$3-Table4[[#This Row],[Red]])^2 + 4*($AP$3-Table4[[#This Row],[Green]])^2 + (2+(255-(($AO$3+Table4[[#This Row],[Red]])/2))/256 )*($AQ$3-Table4[[#This Row],[Blue]])^2)</f>
        <v>174.61165616518846</v>
      </c>
      <c r="AQ215" s="2">
        <f>SQRT(Table4[[#This Row],[diffPrimary2]]^2+Table4[[#This Row],[diffSecondary2]]^2)</f>
        <v>412.96395783258134</v>
      </c>
      <c r="AR215" s="786">
        <f>MIN(Table4[[#This Row],[MinOrig]],Table4[[#This Row],[MinSwap]])</f>
        <v>412.96395783258134</v>
      </c>
      <c r="AS215" s="2">
        <v>13.3151405831857</v>
      </c>
      <c r="AX215" s="4"/>
    </row>
    <row r="216" spans="1:50" x14ac:dyDescent="0.25">
      <c r="A216" t="s">
        <v>132</v>
      </c>
      <c r="B216">
        <v>81</v>
      </c>
      <c r="C216">
        <v>40</v>
      </c>
      <c r="D216">
        <v>136</v>
      </c>
      <c r="E216" s="312"/>
      <c r="F216">
        <v>209</v>
      </c>
      <c r="G216">
        <v>209</v>
      </c>
      <c r="H216">
        <v>209</v>
      </c>
      <c r="I216" s="313"/>
      <c r="J216">
        <v>167</v>
      </c>
      <c r="K216">
        <v>167</v>
      </c>
      <c r="L216">
        <v>167</v>
      </c>
      <c r="M216" s="314"/>
      <c r="N216">
        <v>255</v>
      </c>
      <c r="O216">
        <v>255</v>
      </c>
      <c r="P216">
        <v>255</v>
      </c>
      <c r="Q216" s="3"/>
      <c r="R216">
        <v>0</v>
      </c>
      <c r="S216">
        <v>0</v>
      </c>
      <c r="T216">
        <v>0</v>
      </c>
      <c r="U216" s="4"/>
      <c r="Y216" s="4"/>
      <c r="Z216">
        <f t="shared" si="33"/>
        <v>127.5</v>
      </c>
      <c r="AA216">
        <f t="shared" si="34"/>
        <v>0</v>
      </c>
      <c r="AB216">
        <f t="shared" si="35"/>
        <v>127.5</v>
      </c>
      <c r="AC216" s="30"/>
      <c r="AD216">
        <f t="shared" si="36"/>
        <v>255</v>
      </c>
      <c r="AE216">
        <f t="shared" si="37"/>
        <v>255</v>
      </c>
      <c r="AF216">
        <f t="shared" si="38"/>
        <v>255</v>
      </c>
      <c r="AG216" s="3"/>
      <c r="AH216">
        <f t="shared" si="30"/>
        <v>127.5</v>
      </c>
      <c r="AI216">
        <f t="shared" si="31"/>
        <v>127.5</v>
      </c>
      <c r="AJ216">
        <f t="shared" si="32"/>
        <v>127.5</v>
      </c>
      <c r="AK216" s="32"/>
      <c r="AL216">
        <f>SQRT((2+(($AL$3+Table4[[#This Row],[Red]])/2)/256)*($AL$3-Table4[[#This Row],[Red]])^2 + 4*($AM$3-Table4[[#This Row],[Green]])^2 + (2+(255-(($AL$3+Table4[[#This Row],[Red]])/2))/256 )*($AN$3-Table4[[#This Row],[Blue]])^2)</f>
        <v>482.28453738431216</v>
      </c>
      <c r="AM216">
        <f>SQRT((2+(($AO$3+Table4[[#This Row],[Red2]])/2)/256)*($AO$3-Table4[[#This Row],[Red2]])^2 + 4*($AP$3-Table4[[#This Row],[Green2]])^2 + (2+(255-(($AO$3+Table4[[#This Row],[Red2]])/2))/256 )*($AQ$3-Table4[[#This Row],[Blue2]])^2)</f>
        <v>626.86391752417046</v>
      </c>
      <c r="AN216">
        <f>SQRT(Table4[[#This Row],[diffPrimary]]^2+Table4[[#This Row],[diffSecondary]]^2)</f>
        <v>790.92145380799354</v>
      </c>
      <c r="AO216" s="2">
        <f>SQRT((2+(($AL$3+Table4[[#This Row],[Red2]])/2)/256)*($AL$3-Table4[[#This Row],[Red2]])^2 + 4*($AM$3-Table4[[#This Row],[Green2]])^2 + (2+(255-(($AL$3+Table4[[#This Row],[Red2]])/2))/256 )*($AN$3-Table4[[#This Row],[Blue2]])^2)</f>
        <v>312.25004378502496</v>
      </c>
      <c r="AP216" s="2">
        <f>SQRT((2+(($AO$3+Table4[[#This Row],[Red]])/2)/256)*($AO$3-Table4[[#This Row],[Red]])^2 + 4*($AP$3-Table4[[#This Row],[Green]])^2 + (2+(255-(($AO$3+Table4[[#This Row],[Red]])/2))/256 )*($AQ$3-Table4[[#This Row],[Blue]])^2)</f>
        <v>270.27688710491879</v>
      </c>
      <c r="AQ216" s="2">
        <f>SQRT(Table4[[#This Row],[diffPrimary2]]^2+Table4[[#This Row],[diffSecondary2]]^2)</f>
        <v>412.97661622284983</v>
      </c>
      <c r="AR216" s="786">
        <f>MIN(Table4[[#This Row],[MinOrig]],Table4[[#This Row],[MinSwap]])</f>
        <v>412.97661622284983</v>
      </c>
      <c r="AS216" s="2">
        <v>107.729524229085</v>
      </c>
      <c r="AX216" s="4"/>
    </row>
    <row r="217" spans="1:50" x14ac:dyDescent="0.25">
      <c r="A217" t="s">
        <v>77</v>
      </c>
      <c r="B217">
        <v>145</v>
      </c>
      <c r="C217">
        <v>146</v>
      </c>
      <c r="D217">
        <v>149</v>
      </c>
      <c r="E217" s="225"/>
      <c r="F217">
        <v>0</v>
      </c>
      <c r="G217">
        <v>75</v>
      </c>
      <c r="H217">
        <v>131</v>
      </c>
      <c r="I217" s="226"/>
      <c r="J217">
        <v>255</v>
      </c>
      <c r="K217">
        <v>255</v>
      </c>
      <c r="L217">
        <v>255</v>
      </c>
      <c r="M217" s="3"/>
      <c r="Q217" s="4"/>
      <c r="U217" s="4"/>
      <c r="Y217" s="4"/>
      <c r="Z217">
        <f t="shared" si="33"/>
        <v>127.5</v>
      </c>
      <c r="AA217">
        <f t="shared" si="34"/>
        <v>127.5</v>
      </c>
      <c r="AB217">
        <f t="shared" si="35"/>
        <v>127.5</v>
      </c>
      <c r="AC217" s="32"/>
      <c r="AD217">
        <f t="shared" si="36"/>
        <v>0</v>
      </c>
      <c r="AE217">
        <f t="shared" si="37"/>
        <v>127.5</v>
      </c>
      <c r="AF217">
        <f t="shared" si="38"/>
        <v>127.5</v>
      </c>
      <c r="AG217" s="24"/>
      <c r="AH217">
        <f t="shared" si="30"/>
        <v>255</v>
      </c>
      <c r="AI217">
        <f t="shared" si="31"/>
        <v>255</v>
      </c>
      <c r="AJ217">
        <f t="shared" si="32"/>
        <v>255</v>
      </c>
      <c r="AK217" s="3"/>
      <c r="AL217">
        <f>SQRT((2+(($AL$3+Table4[[#This Row],[Red]])/2)/256)*($AL$3-Table4[[#This Row],[Red]])^2 + 4*($AM$3-Table4[[#This Row],[Green]])^2 + (2+(255-(($AL$3+Table4[[#This Row],[Red]])/2))/256 )*($AN$3-Table4[[#This Row],[Blue]])^2)</f>
        <v>311.04480560483563</v>
      </c>
      <c r="AM217">
        <f>SQRT((2+(($AO$3+Table4[[#This Row],[Red2]])/2)/256)*($AO$3-Table4[[#This Row],[Red2]])^2 + 4*($AP$3-Table4[[#This Row],[Green2]])^2 + (2+(255-(($AO$3+Table4[[#This Row],[Red2]])/2))/256 )*($AQ$3-Table4[[#This Row],[Blue2]])^2)</f>
        <v>271.87490660917933</v>
      </c>
      <c r="AN217">
        <f>SQRT(Table4[[#This Row],[diffPrimary]]^2+Table4[[#This Row],[diffSecondary]]^2)</f>
        <v>413.11600784464883</v>
      </c>
      <c r="AO217" s="2">
        <f>SQRT((2+(($AL$3+Table4[[#This Row],[Red2]])/2)/256)*($AL$3-Table4[[#This Row],[Red2]])^2 + 4*($AM$3-Table4[[#This Row],[Green2]])^2 + (2+(255-(($AL$3+Table4[[#This Row],[Red2]])/2))/256 )*($AN$3-Table4[[#This Row],[Blue2]])^2)</f>
        <v>522.40260381122721</v>
      </c>
      <c r="AP217" s="2">
        <f>SQRT((2+(($AO$3+Table4[[#This Row],[Red]])/2)/256)*($AO$3-Table4[[#This Row],[Red]])^2 + 4*($AP$3-Table4[[#This Row],[Green]])^2 + (2+(255-(($AO$3+Table4[[#This Row],[Red]])/2))/256 )*($AQ$3-Table4[[#This Row],[Blue]])^2)</f>
        <v>439.88320093946527</v>
      </c>
      <c r="AQ217" s="2">
        <f>SQRT(Table4[[#This Row],[diffPrimary2]]^2+Table4[[#This Row],[diffSecondary2]]^2)</f>
        <v>682.93609579337658</v>
      </c>
      <c r="AR217" s="786">
        <f>MIN(Table4[[#This Row],[MinOrig]],Table4[[#This Row],[MinSwap]])</f>
        <v>413.11600784464883</v>
      </c>
      <c r="AS217" s="2">
        <v>57.244933591323203</v>
      </c>
      <c r="AX217" s="4"/>
    </row>
    <row r="218" spans="1:50" x14ac:dyDescent="0.25">
      <c r="A218" t="s">
        <v>176</v>
      </c>
      <c r="B218">
        <v>4</v>
      </c>
      <c r="C218">
        <v>30</v>
      </c>
      <c r="D218">
        <v>66</v>
      </c>
      <c r="E218" s="69"/>
      <c r="F218">
        <v>83</v>
      </c>
      <c r="G218">
        <v>86</v>
      </c>
      <c r="H218">
        <v>90</v>
      </c>
      <c r="I218" s="377"/>
      <c r="J218">
        <v>255</v>
      </c>
      <c r="K218">
        <v>255</v>
      </c>
      <c r="L218">
        <v>255</v>
      </c>
      <c r="M218" s="3"/>
      <c r="Q218" s="4"/>
      <c r="U218" s="4"/>
      <c r="Y218" s="4"/>
      <c r="Z218">
        <f t="shared" si="33"/>
        <v>0</v>
      </c>
      <c r="AA218">
        <f t="shared" si="34"/>
        <v>0</v>
      </c>
      <c r="AB218">
        <f t="shared" si="35"/>
        <v>127.5</v>
      </c>
      <c r="AC218" s="26"/>
      <c r="AD218">
        <f t="shared" si="36"/>
        <v>127.5</v>
      </c>
      <c r="AE218">
        <f t="shared" si="37"/>
        <v>127.5</v>
      </c>
      <c r="AF218">
        <f t="shared" si="38"/>
        <v>127.5</v>
      </c>
      <c r="AG218" s="32"/>
      <c r="AH218">
        <f t="shared" si="30"/>
        <v>255</v>
      </c>
      <c r="AI218">
        <f t="shared" si="31"/>
        <v>255</v>
      </c>
      <c r="AJ218">
        <f t="shared" si="32"/>
        <v>255</v>
      </c>
      <c r="AK218" s="3"/>
      <c r="AL218">
        <f>SQRT((2+(($AL$3+Table4[[#This Row],[Red]])/2)/256)*($AL$3-Table4[[#This Row],[Red]])^2 + 4*($AM$3-Table4[[#This Row],[Green]])^2 + (2+(255-(($AL$3+Table4[[#This Row],[Red]])/2))/256 )*($AN$3-Table4[[#This Row],[Blue]])^2)</f>
        <v>539.64720644313081</v>
      </c>
      <c r="AM218">
        <f>SQRT((2+(($AO$3+Table4[[#This Row],[Red2]])/2)/256)*($AO$3-Table4[[#This Row],[Red2]])^2 + 4*($AP$3-Table4[[#This Row],[Green2]])^2 + (2+(255-(($AO$3+Table4[[#This Row],[Red2]])/2))/256 )*($AQ$3-Table4[[#This Row],[Blue2]])^2)</f>
        <v>259.68065950677766</v>
      </c>
      <c r="AN218">
        <f>SQRT(Table4[[#This Row],[diffPrimary]]^2+Table4[[#This Row],[diffSecondary]]^2)</f>
        <v>598.87657521708934</v>
      </c>
      <c r="AO218" s="2">
        <f>SQRT((2+(($AL$3+Table4[[#This Row],[Red2]])/2)/256)*($AL$3-Table4[[#This Row],[Red2]])^2 + 4*($AM$3-Table4[[#This Row],[Green2]])^2 + (2+(255-(($AL$3+Table4[[#This Row],[Red2]])/2))/256 )*($AN$3-Table4[[#This Row],[Blue2]])^2)</f>
        <v>392.76348640116737</v>
      </c>
      <c r="AP218" s="2">
        <f>SQRT((2+(($AO$3+Table4[[#This Row],[Red]])/2)/256)*($AO$3-Table4[[#This Row],[Red]])^2 + 4*($AP$3-Table4[[#This Row],[Green]])^2 + (2+(255-(($AO$3+Table4[[#This Row],[Red]])/2))/256 )*($AQ$3-Table4[[#This Row],[Blue]])^2)</f>
        <v>129.03130676312628</v>
      </c>
      <c r="AQ218" s="2">
        <f>SQRT(Table4[[#This Row],[diffPrimary2]]^2+Table4[[#This Row],[diffSecondary2]]^2)</f>
        <v>413.41532914854525</v>
      </c>
      <c r="AR218" s="786">
        <f>MIN(Table4[[#This Row],[MinOrig]],Table4[[#This Row],[MinSwap]])</f>
        <v>413.41532914854525</v>
      </c>
      <c r="AS218" s="2">
        <v>78.170661656084306</v>
      </c>
      <c r="AX218" s="4"/>
    </row>
    <row r="219" spans="1:50" x14ac:dyDescent="0.25">
      <c r="A219" t="s">
        <v>120</v>
      </c>
      <c r="B219">
        <v>153</v>
      </c>
      <c r="C219">
        <v>0</v>
      </c>
      <c r="D219">
        <v>0</v>
      </c>
      <c r="E219" s="135"/>
      <c r="F219">
        <v>238</v>
      </c>
      <c r="G219">
        <v>237</v>
      </c>
      <c r="H219">
        <v>235</v>
      </c>
      <c r="I219" s="295"/>
      <c r="M219" s="4"/>
      <c r="Q219" s="4"/>
      <c r="U219" s="4"/>
      <c r="Y219" s="4"/>
      <c r="Z219">
        <f t="shared" si="33"/>
        <v>127.5</v>
      </c>
      <c r="AA219">
        <f t="shared" si="34"/>
        <v>0</v>
      </c>
      <c r="AB219">
        <f t="shared" si="35"/>
        <v>0</v>
      </c>
      <c r="AC219" s="27"/>
      <c r="AD219">
        <f t="shared" si="36"/>
        <v>255</v>
      </c>
      <c r="AE219">
        <f t="shared" si="37"/>
        <v>255</v>
      </c>
      <c r="AF219">
        <f t="shared" si="38"/>
        <v>255</v>
      </c>
      <c r="AG219" s="3"/>
      <c r="AH219">
        <f t="shared" si="30"/>
        <v>0</v>
      </c>
      <c r="AI219">
        <f t="shared" si="31"/>
        <v>0</v>
      </c>
      <c r="AJ219">
        <f t="shared" si="32"/>
        <v>0</v>
      </c>
      <c r="AK219" s="4"/>
      <c r="AL219">
        <f>SQRT((2+(($AL$3+Table4[[#This Row],[Red]])/2)/256)*($AL$3-Table4[[#This Row],[Red]])^2 + 4*($AM$3-Table4[[#This Row],[Green]])^2 + (2+(255-(($AL$3+Table4[[#This Row],[Red]])/2))/256 )*($AN$3-Table4[[#This Row],[Blue]])^2)</f>
        <v>444.07058842035462</v>
      </c>
      <c r="AM219">
        <f>SQRT((2+(($AO$3+Table4[[#This Row],[Red2]])/2)/256)*($AO$3-Table4[[#This Row],[Red2]])^2 + 4*($AP$3-Table4[[#This Row],[Green2]])^2 + (2+(255-(($AO$3+Table4[[#This Row],[Red2]])/2))/256 )*($AQ$3-Table4[[#This Row],[Blue2]])^2)</f>
        <v>709.98795104212866</v>
      </c>
      <c r="AN219">
        <f>SQRT(Table4[[#This Row],[diffPrimary]]^2+Table4[[#This Row],[diffSecondary]]^2)</f>
        <v>837.42556572211242</v>
      </c>
      <c r="AO219" s="2">
        <f>SQRT((2+(($AL$3+Table4[[#This Row],[Red2]])/2)/256)*($AL$3-Table4[[#This Row],[Red2]])^2 + 4*($AM$3-Table4[[#This Row],[Green2]])^2 + (2+(255-(($AL$3+Table4[[#This Row],[Red2]])/2))/256 )*($AN$3-Table4[[#This Row],[Blue2]])^2)</f>
        <v>342.39731010735176</v>
      </c>
      <c r="AP219" s="2">
        <f>SQRT((2+(($AO$3+Table4[[#This Row],[Red]])/2)/256)*($AO$3-Table4[[#This Row],[Red]])^2 + 4*($AP$3-Table4[[#This Row],[Green]])^2 + (2+(255-(($AO$3+Table4[[#This Row],[Red]])/2))/256 )*($AQ$3-Table4[[#This Row],[Blue]])^2)</f>
        <v>231.97686862729438</v>
      </c>
      <c r="AQ219" s="2">
        <f>SQRT(Table4[[#This Row],[diffPrimary2]]^2+Table4[[#This Row],[diffSecondary2]]^2)</f>
        <v>413.58092986364227</v>
      </c>
      <c r="AR219" s="786">
        <f>MIN(Table4[[#This Row],[MinOrig]],Table4[[#This Row],[MinSwap]])</f>
        <v>413.58092986364227</v>
      </c>
      <c r="AS219" s="2">
        <v>82.129803892983901</v>
      </c>
      <c r="AX219" s="4"/>
    </row>
    <row r="220" spans="1:50" x14ac:dyDescent="0.25">
      <c r="A220" t="s">
        <v>112</v>
      </c>
      <c r="B220">
        <v>201</v>
      </c>
      <c r="C220">
        <v>42</v>
      </c>
      <c r="D220">
        <v>57</v>
      </c>
      <c r="E220" s="281"/>
      <c r="F220">
        <v>125</v>
      </c>
      <c r="G220">
        <v>41</v>
      </c>
      <c r="H220">
        <v>53</v>
      </c>
      <c r="I220" s="282"/>
      <c r="J220">
        <v>184</v>
      </c>
      <c r="K220">
        <v>185</v>
      </c>
      <c r="L220">
        <v>183</v>
      </c>
      <c r="M220" s="283"/>
      <c r="Q220" s="4"/>
      <c r="U220" s="4"/>
      <c r="Y220" s="4"/>
      <c r="Z220">
        <f t="shared" si="33"/>
        <v>255</v>
      </c>
      <c r="AA220">
        <f t="shared" si="34"/>
        <v>0</v>
      </c>
      <c r="AB220">
        <f t="shared" si="35"/>
        <v>0</v>
      </c>
      <c r="AC220" s="5"/>
      <c r="AD220">
        <f t="shared" si="36"/>
        <v>127.5</v>
      </c>
      <c r="AE220">
        <f t="shared" si="37"/>
        <v>0</v>
      </c>
      <c r="AF220">
        <f t="shared" si="38"/>
        <v>0</v>
      </c>
      <c r="AG220" s="27"/>
      <c r="AH220">
        <f t="shared" si="30"/>
        <v>127.5</v>
      </c>
      <c r="AI220">
        <f t="shared" si="31"/>
        <v>127.5</v>
      </c>
      <c r="AJ220">
        <f t="shared" si="32"/>
        <v>127.5</v>
      </c>
      <c r="AK220" s="32"/>
      <c r="AL220">
        <f>SQRT((2+(($AL$3+Table4[[#This Row],[Red]])/2)/256)*($AL$3-Table4[[#This Row],[Red]])^2 + 4*($AM$3-Table4[[#This Row],[Green]])^2 + (2+(255-(($AL$3+Table4[[#This Row],[Red]])/2))/256 )*($AN$3-Table4[[#This Row],[Blue]])^2)</f>
        <v>348.63409252215996</v>
      </c>
      <c r="AM220">
        <f>SQRT((2+(($AO$3+Table4[[#This Row],[Red2]])/2)/256)*($AO$3-Table4[[#This Row],[Red2]])^2 + 4*($AP$3-Table4[[#This Row],[Green2]])^2 + (2+(255-(($AO$3+Table4[[#This Row],[Red2]])/2))/256 )*($AQ$3-Table4[[#This Row],[Blue2]])^2)</f>
        <v>222.52850063250324</v>
      </c>
      <c r="AN220">
        <f>SQRT(Table4[[#This Row],[diffPrimary]]^2+Table4[[#This Row],[diffSecondary]]^2)</f>
        <v>413.59964224174564</v>
      </c>
      <c r="AO220" s="2">
        <f>SQRT((2+(($AL$3+Table4[[#This Row],[Red2]])/2)/256)*($AL$3-Table4[[#This Row],[Red2]])^2 + 4*($AM$3-Table4[[#This Row],[Green2]])^2 + (2+(255-(($AL$3+Table4[[#This Row],[Red2]])/2))/256 )*($AN$3-Table4[[#This Row],[Blue2]])^2)</f>
        <v>400.32260916197328</v>
      </c>
      <c r="AP220" s="2">
        <f>SQRT((2+(($AO$3+Table4[[#This Row],[Red]])/2)/256)*($AO$3-Table4[[#This Row],[Red]])^2 + 4*($AP$3-Table4[[#This Row],[Green]])^2 + (2+(255-(($AO$3+Table4[[#This Row],[Red]])/2))/256 )*($AQ$3-Table4[[#This Row],[Blue]])^2)</f>
        <v>334.92890453609704</v>
      </c>
      <c r="AQ220" s="2">
        <f>SQRT(Table4[[#This Row],[diffPrimary2]]^2+Table4[[#This Row],[diffSecondary2]]^2)</f>
        <v>521.95360186514665</v>
      </c>
      <c r="AR220" s="786">
        <f>MIN(Table4[[#This Row],[MinOrig]],Table4[[#This Row],[MinSwap]])</f>
        <v>413.59964224174564</v>
      </c>
      <c r="AS220" s="2">
        <v>96.174686443471202</v>
      </c>
      <c r="AX220" s="4"/>
    </row>
    <row r="221" spans="1:50" x14ac:dyDescent="0.25">
      <c r="A221" t="s">
        <v>331</v>
      </c>
      <c r="B221">
        <v>198</v>
      </c>
      <c r="C221">
        <v>12</v>
      </c>
      <c r="D221">
        <v>48</v>
      </c>
      <c r="E221" s="264"/>
      <c r="F221">
        <v>30</v>
      </c>
      <c r="G221">
        <v>30</v>
      </c>
      <c r="H221">
        <v>30</v>
      </c>
      <c r="I221" s="570"/>
      <c r="J221">
        <v>162</v>
      </c>
      <c r="K221">
        <v>164</v>
      </c>
      <c r="L221">
        <v>163</v>
      </c>
      <c r="M221" s="181"/>
      <c r="Q221" s="4"/>
      <c r="U221" s="4"/>
      <c r="Y221" s="4"/>
      <c r="Z221">
        <f t="shared" si="33"/>
        <v>255</v>
      </c>
      <c r="AA221">
        <f t="shared" si="34"/>
        <v>0</v>
      </c>
      <c r="AB221">
        <f t="shared" si="35"/>
        <v>0</v>
      </c>
      <c r="AC221" s="5"/>
      <c r="AD221">
        <f t="shared" si="36"/>
        <v>0</v>
      </c>
      <c r="AE221">
        <f t="shared" si="37"/>
        <v>0</v>
      </c>
      <c r="AF221">
        <f t="shared" si="38"/>
        <v>0</v>
      </c>
      <c r="AG221" s="4"/>
      <c r="AH221">
        <f t="shared" si="30"/>
        <v>127.5</v>
      </c>
      <c r="AI221">
        <f t="shared" si="31"/>
        <v>127.5</v>
      </c>
      <c r="AJ221">
        <f t="shared" si="32"/>
        <v>127.5</v>
      </c>
      <c r="AK221" s="32"/>
      <c r="AL221">
        <f>SQRT((2+(($AL$3+Table4[[#This Row],[Red]])/2)/256)*($AL$3-Table4[[#This Row],[Red]])^2 + 4*($AM$3-Table4[[#This Row],[Green]])^2 + (2+(255-(($AL$3+Table4[[#This Row],[Red]])/2))/256 )*($AN$3-Table4[[#This Row],[Blue]])^2)</f>
        <v>404.02116716284183</v>
      </c>
      <c r="AM221">
        <f>SQRT((2+(($AO$3+Table4[[#This Row],[Red2]])/2)/256)*($AO$3-Table4[[#This Row],[Red2]])^2 + 4*($AP$3-Table4[[#This Row],[Green2]])^2 + (2+(255-(($AO$3+Table4[[#This Row],[Red2]])/2))/256 )*($AQ$3-Table4[[#This Row],[Blue2]])^2)</f>
        <v>89.980466630263706</v>
      </c>
      <c r="AN221">
        <f>SQRT(Table4[[#This Row],[diffPrimary]]^2+Table4[[#This Row],[diffSecondary]]^2)</f>
        <v>413.91978436724304</v>
      </c>
      <c r="AO221" s="2">
        <f>SQRT((2+(($AL$3+Table4[[#This Row],[Red2]])/2)/256)*($AL$3-Table4[[#This Row],[Red2]])^2 + 4*($AM$3-Table4[[#This Row],[Green2]])^2 + (2+(255-(($AL$3+Table4[[#This Row],[Red2]])/2))/256 )*($AN$3-Table4[[#This Row],[Blue2]])^2)</f>
        <v>504.10855919447056</v>
      </c>
      <c r="AP221" s="2">
        <f>SQRT((2+(($AO$3+Table4[[#This Row],[Red]])/2)/256)*($AO$3-Table4[[#This Row],[Red]])^2 + 4*($AP$3-Table4[[#This Row],[Green]])^2 + (2+(255-(($AO$3+Table4[[#This Row],[Red]])/2))/256 )*($AQ$3-Table4[[#This Row],[Blue]])^2)</f>
        <v>316.4757840262032</v>
      </c>
      <c r="AQ221" s="2">
        <f>SQRT(Table4[[#This Row],[diffPrimary2]]^2+Table4[[#This Row],[diffSecondary2]]^2)</f>
        <v>595.21623073310514</v>
      </c>
      <c r="AR221" s="786">
        <f>MIN(Table4[[#This Row],[MinOrig]],Table4[[#This Row],[MinSwap]])</f>
        <v>413.91978436724304</v>
      </c>
      <c r="AS221" s="2">
        <v>48.8401010313247</v>
      </c>
      <c r="AX221" s="4"/>
    </row>
    <row r="222" spans="1:50" x14ac:dyDescent="0.25">
      <c r="A222" t="s">
        <v>50</v>
      </c>
      <c r="B222">
        <v>224</v>
      </c>
      <c r="C222">
        <v>1</v>
      </c>
      <c r="D222">
        <v>34</v>
      </c>
      <c r="E222" s="167"/>
      <c r="F222">
        <v>0</v>
      </c>
      <c r="G222">
        <v>0</v>
      </c>
      <c r="H222">
        <v>0</v>
      </c>
      <c r="I222" s="4"/>
      <c r="J222">
        <v>255</v>
      </c>
      <c r="K222">
        <v>255</v>
      </c>
      <c r="L222">
        <v>255</v>
      </c>
      <c r="M222" s="3"/>
      <c r="Q222" s="4"/>
      <c r="U222" s="4"/>
      <c r="Y222" s="4"/>
      <c r="Z222">
        <f t="shared" si="33"/>
        <v>255</v>
      </c>
      <c r="AA222">
        <f t="shared" si="34"/>
        <v>0</v>
      </c>
      <c r="AB222">
        <f t="shared" si="35"/>
        <v>0</v>
      </c>
      <c r="AC222" s="5"/>
      <c r="AD222">
        <f t="shared" si="36"/>
        <v>0</v>
      </c>
      <c r="AE222">
        <f t="shared" si="37"/>
        <v>0</v>
      </c>
      <c r="AF222">
        <f t="shared" si="38"/>
        <v>0</v>
      </c>
      <c r="AG222" s="4"/>
      <c r="AH222">
        <f t="shared" si="30"/>
        <v>255</v>
      </c>
      <c r="AI222">
        <f t="shared" si="31"/>
        <v>255</v>
      </c>
      <c r="AJ222">
        <f t="shared" si="32"/>
        <v>255</v>
      </c>
      <c r="AK222" s="3"/>
      <c r="AL222">
        <f>SQRT((2+(($AL$3+Table4[[#This Row],[Red]])/2)/256)*($AL$3-Table4[[#This Row],[Red]])^2 + 4*($AM$3-Table4[[#This Row],[Green]])^2 + (2+(255-(($AL$3+Table4[[#This Row],[Red]])/2))/256 )*($AN$3-Table4[[#This Row],[Blue]])^2)</f>
        <v>414.32722905256298</v>
      </c>
      <c r="AM222">
        <f>SQRT((2+(($AO$3+Table4[[#This Row],[Red2]])/2)/256)*($AO$3-Table4[[#This Row],[Red2]])^2 + 4*($AP$3-Table4[[#This Row],[Green2]])^2 + (2+(255-(($AO$3+Table4[[#This Row],[Red2]])/2))/256 )*($AQ$3-Table4[[#This Row],[Blue2]])^2)</f>
        <v>0</v>
      </c>
      <c r="AN222">
        <f>SQRT(Table4[[#This Row],[diffPrimary]]^2+Table4[[#This Row],[diffSecondary]]^2)</f>
        <v>414.32722905256298</v>
      </c>
      <c r="AO222" s="2">
        <f>SQRT((2+(($AL$3+Table4[[#This Row],[Red2]])/2)/256)*($AL$3-Table4[[#This Row],[Red2]])^2 + 4*($AM$3-Table4[[#This Row],[Green2]])^2 + (2+(255-(($AL$3+Table4[[#This Row],[Red2]])/2))/256 )*($AN$3-Table4[[#This Row],[Blue2]])^2)</f>
        <v>574.92216694686158</v>
      </c>
      <c r="AP222" s="2">
        <f>SQRT((2+(($AO$3+Table4[[#This Row],[Red]])/2)/256)*($AO$3-Table4[[#This Row],[Red]])^2 + 4*($AP$3-Table4[[#This Row],[Green]])^2 + (2+(255-(($AO$3+Table4[[#This Row],[Red]])/2))/256 )*($AQ$3-Table4[[#This Row],[Blue]])^2)</f>
        <v>353.92899623370789</v>
      </c>
      <c r="AQ222" s="2">
        <f>SQRT(Table4[[#This Row],[diffPrimary2]]^2+Table4[[#This Row],[diffSecondary2]]^2)</f>
        <v>675.13052991393818</v>
      </c>
      <c r="AR222" s="786">
        <f>MIN(Table4[[#This Row],[MinOrig]],Table4[[#This Row],[MinSwap]])</f>
        <v>414.32722905256298</v>
      </c>
      <c r="AS222" s="2">
        <v>41.984046449216898</v>
      </c>
      <c r="AX222" s="4"/>
    </row>
    <row r="223" spans="1:50" x14ac:dyDescent="0.25">
      <c r="A223" t="s">
        <v>107</v>
      </c>
      <c r="B223">
        <v>164</v>
      </c>
      <c r="C223">
        <v>16</v>
      </c>
      <c r="D223">
        <v>52</v>
      </c>
      <c r="E223" s="273"/>
      <c r="F223">
        <v>0</v>
      </c>
      <c r="G223">
        <v>0</v>
      </c>
      <c r="H223">
        <v>0</v>
      </c>
      <c r="I223" s="4"/>
      <c r="J223">
        <v>128</v>
      </c>
      <c r="K223">
        <v>130</v>
      </c>
      <c r="L223">
        <v>133</v>
      </c>
      <c r="M223" s="274"/>
      <c r="N223">
        <v>182</v>
      </c>
      <c r="O223">
        <v>182</v>
      </c>
      <c r="P223">
        <v>182</v>
      </c>
      <c r="Q223" s="275"/>
      <c r="U223" s="4"/>
      <c r="Y223" s="4"/>
      <c r="Z223">
        <f t="shared" si="33"/>
        <v>127.5</v>
      </c>
      <c r="AA223">
        <f t="shared" si="34"/>
        <v>0</v>
      </c>
      <c r="AB223">
        <f t="shared" si="35"/>
        <v>0</v>
      </c>
      <c r="AC223" s="27"/>
      <c r="AD223">
        <f t="shared" si="36"/>
        <v>0</v>
      </c>
      <c r="AE223">
        <f t="shared" si="37"/>
        <v>0</v>
      </c>
      <c r="AF223">
        <f t="shared" si="38"/>
        <v>0</v>
      </c>
      <c r="AG223" s="4"/>
      <c r="AH223">
        <f t="shared" si="30"/>
        <v>127.5</v>
      </c>
      <c r="AI223">
        <f t="shared" si="31"/>
        <v>127.5</v>
      </c>
      <c r="AJ223">
        <f t="shared" si="32"/>
        <v>127.5</v>
      </c>
      <c r="AK223" s="32"/>
      <c r="AL223">
        <f>SQRT((2+(($AL$3+Table4[[#This Row],[Red]])/2)/256)*($AL$3-Table4[[#This Row],[Red]])^2 + 4*($AM$3-Table4[[#This Row],[Green]])^2 + (2+(255-(($AL$3+Table4[[#This Row],[Red]])/2))/256 )*($AN$3-Table4[[#This Row],[Blue]])^2)</f>
        <v>414.8631433790847</v>
      </c>
      <c r="AM223">
        <f>SQRT((2+(($AO$3+Table4[[#This Row],[Red2]])/2)/256)*($AO$3-Table4[[#This Row],[Red2]])^2 + 4*($AP$3-Table4[[#This Row],[Green2]])^2 + (2+(255-(($AO$3+Table4[[#This Row],[Red2]])/2))/256 )*($AQ$3-Table4[[#This Row],[Blue2]])^2)</f>
        <v>0</v>
      </c>
      <c r="AN223">
        <f>SQRT(Table4[[#This Row],[diffPrimary]]^2+Table4[[#This Row],[diffSecondary]]^2)</f>
        <v>414.8631433790847</v>
      </c>
      <c r="AO223" s="2">
        <f>SQRT((2+(($AL$3+Table4[[#This Row],[Red2]])/2)/256)*($AL$3-Table4[[#This Row],[Red2]])^2 + 4*($AM$3-Table4[[#This Row],[Green2]])^2 + (2+(255-(($AL$3+Table4[[#This Row],[Red2]])/2))/256 )*($AN$3-Table4[[#This Row],[Blue2]])^2)</f>
        <v>574.92216694686158</v>
      </c>
      <c r="AP223" s="2">
        <f>SQRT((2+(($AO$3+Table4[[#This Row],[Red]])/2)/256)*($AO$3-Table4[[#This Row],[Red]])^2 + 4*($AP$3-Table4[[#This Row],[Green]])^2 + (2+(255-(($AO$3+Table4[[#This Row],[Red]])/2))/256 )*($AQ$3-Table4[[#This Row],[Blue]])^2)</f>
        <v>265.83159612807503</v>
      </c>
      <c r="AQ223" s="2">
        <f>SQRT(Table4[[#This Row],[diffPrimary2]]^2+Table4[[#This Row],[diffSecondary2]]^2)</f>
        <v>633.4050327767178</v>
      </c>
      <c r="AR223" s="786">
        <f>MIN(Table4[[#This Row],[MinOrig]],Table4[[#This Row],[MinSwap]])</f>
        <v>414.8631433790847</v>
      </c>
      <c r="AS223" s="2">
        <v>20.475213674098701</v>
      </c>
      <c r="AX223" s="4"/>
    </row>
    <row r="224" spans="1:50" x14ac:dyDescent="0.25">
      <c r="A224" t="s">
        <v>102</v>
      </c>
      <c r="B224">
        <v>4</v>
      </c>
      <c r="C224">
        <v>30</v>
      </c>
      <c r="D224">
        <v>66</v>
      </c>
      <c r="E224" s="69"/>
      <c r="F224">
        <v>200</v>
      </c>
      <c r="G224">
        <v>16</v>
      </c>
      <c r="H224">
        <v>46</v>
      </c>
      <c r="I224" s="97"/>
      <c r="J224">
        <v>193</v>
      </c>
      <c r="K224">
        <v>198</v>
      </c>
      <c r="L224">
        <v>200</v>
      </c>
      <c r="M224" s="268"/>
      <c r="Q224" s="4"/>
      <c r="U224" s="4"/>
      <c r="Y224" s="4"/>
      <c r="Z224">
        <f t="shared" si="33"/>
        <v>0</v>
      </c>
      <c r="AA224">
        <f t="shared" si="34"/>
        <v>0</v>
      </c>
      <c r="AB224">
        <f t="shared" si="35"/>
        <v>127.5</v>
      </c>
      <c r="AC224" s="26"/>
      <c r="AD224">
        <f t="shared" si="36"/>
        <v>255</v>
      </c>
      <c r="AE224">
        <f t="shared" si="37"/>
        <v>0</v>
      </c>
      <c r="AF224">
        <f t="shared" si="38"/>
        <v>0</v>
      </c>
      <c r="AG224" s="5"/>
      <c r="AH224">
        <f t="shared" si="30"/>
        <v>255</v>
      </c>
      <c r="AI224">
        <f t="shared" si="31"/>
        <v>255</v>
      </c>
      <c r="AJ224">
        <f t="shared" si="32"/>
        <v>255</v>
      </c>
      <c r="AK224" s="3"/>
      <c r="AL224">
        <f>SQRT((2+(($AL$3+Table4[[#This Row],[Red]])/2)/256)*($AL$3-Table4[[#This Row],[Red]])^2 + 4*($AM$3-Table4[[#This Row],[Green]])^2 + (2+(255-(($AL$3+Table4[[#This Row],[Red]])/2))/256 )*($AN$3-Table4[[#This Row],[Blue]])^2)</f>
        <v>539.64720644313081</v>
      </c>
      <c r="AM224">
        <f>SQRT((2+(($AO$3+Table4[[#This Row],[Red2]])/2)/256)*($AO$3-Table4[[#This Row],[Red2]])^2 + 4*($AP$3-Table4[[#This Row],[Green2]])^2 + (2+(255-(($AO$3+Table4[[#This Row],[Red2]])/2))/256 )*($AQ$3-Table4[[#This Row],[Blue2]])^2)</f>
        <v>319.62817753602388</v>
      </c>
      <c r="AN224">
        <f>SQRT(Table4[[#This Row],[diffPrimary]]^2+Table4[[#This Row],[diffSecondary]]^2)</f>
        <v>627.2011473976072</v>
      </c>
      <c r="AO224" s="2">
        <f>SQRT((2+(($AL$3+Table4[[#This Row],[Red2]])/2)/256)*($AL$3-Table4[[#This Row],[Red2]])^2 + 4*($AM$3-Table4[[#This Row],[Green2]])^2 + (2+(255-(($AL$3+Table4[[#This Row],[Red2]])/2))/256 )*($AN$3-Table4[[#This Row],[Blue2]])^2)</f>
        <v>395.07155947926066</v>
      </c>
      <c r="AP224" s="2">
        <f>SQRT((2+(($AO$3+Table4[[#This Row],[Red]])/2)/256)*($AO$3-Table4[[#This Row],[Red]])^2 + 4*($AP$3-Table4[[#This Row],[Green]])^2 + (2+(255-(($AO$3+Table4[[#This Row],[Red]])/2))/256 )*($AQ$3-Table4[[#This Row],[Blue]])^2)</f>
        <v>129.03130676312628</v>
      </c>
      <c r="AQ224" s="2">
        <f>SQRT(Table4[[#This Row],[diffPrimary2]]^2+Table4[[#This Row],[diffSecondary2]]^2)</f>
        <v>415.6087285348745</v>
      </c>
      <c r="AR224" s="786">
        <f>MIN(Table4[[#This Row],[MinOrig]],Table4[[#This Row],[MinSwap]])</f>
        <v>415.6087285348745</v>
      </c>
      <c r="AS224" s="2">
        <v>24.617225930230202</v>
      </c>
      <c r="AX224" s="4"/>
    </row>
    <row r="225" spans="1:50" x14ac:dyDescent="0.25">
      <c r="A225" t="s">
        <v>3</v>
      </c>
      <c r="B225">
        <v>158</v>
      </c>
      <c r="C225">
        <v>27</v>
      </c>
      <c r="D225">
        <v>50</v>
      </c>
      <c r="E225" s="72"/>
      <c r="F225">
        <v>130</v>
      </c>
      <c r="G225">
        <v>138</v>
      </c>
      <c r="H225">
        <v>143</v>
      </c>
      <c r="I225" s="73"/>
      <c r="J225">
        <v>255</v>
      </c>
      <c r="K225">
        <v>255</v>
      </c>
      <c r="L225">
        <v>255</v>
      </c>
      <c r="M225" s="3"/>
      <c r="Q225" s="4"/>
      <c r="U225" s="4"/>
      <c r="Y225" s="4"/>
      <c r="Z225">
        <f t="shared" si="33"/>
        <v>127.5</v>
      </c>
      <c r="AA225">
        <f t="shared" si="34"/>
        <v>0</v>
      </c>
      <c r="AB225">
        <f t="shared" si="35"/>
        <v>0</v>
      </c>
      <c r="AC225" s="27"/>
      <c r="AD225">
        <f t="shared" si="36"/>
        <v>127.5</v>
      </c>
      <c r="AE225">
        <f t="shared" si="37"/>
        <v>127.5</v>
      </c>
      <c r="AF225">
        <f t="shared" si="38"/>
        <v>127.5</v>
      </c>
      <c r="AG225" s="32"/>
      <c r="AH225">
        <f t="shared" si="30"/>
        <v>255</v>
      </c>
      <c r="AI225">
        <f t="shared" si="31"/>
        <v>255</v>
      </c>
      <c r="AJ225">
        <f t="shared" si="32"/>
        <v>255</v>
      </c>
      <c r="AK225" s="3"/>
      <c r="AL225">
        <f>SQRT((2+(($AL$3+Table4[[#This Row],[Red]])/2)/256)*($AL$3-Table4[[#This Row],[Red]])^2 + 4*($AM$3-Table4[[#This Row],[Green]])^2 + (2+(255-(($AL$3+Table4[[#This Row],[Red]])/2))/256 )*($AN$3-Table4[[#This Row],[Blue]])^2)</f>
        <v>398.26789282231249</v>
      </c>
      <c r="AM225">
        <f>SQRT((2+(($AO$3+Table4[[#This Row],[Red2]])/2)/256)*($AO$3-Table4[[#This Row],[Red2]])^2 + 4*($AP$3-Table4[[#This Row],[Green2]])^2 + (2+(255-(($AO$3+Table4[[#This Row],[Red2]])/2))/256 )*($AQ$3-Table4[[#This Row],[Blue2]])^2)</f>
        <v>412.72509956689089</v>
      </c>
      <c r="AN225">
        <f>SQRT(Table4[[#This Row],[diffPrimary]]^2+Table4[[#This Row],[diffSecondary]]^2)</f>
        <v>573.5497557018266</v>
      </c>
      <c r="AO225" s="2">
        <f>SQRT((2+(($AL$3+Table4[[#This Row],[Red2]])/2)/256)*($AL$3-Table4[[#This Row],[Red2]])^2 + 4*($AM$3-Table4[[#This Row],[Green2]])^2 + (2+(255-(($AL$3+Table4[[#This Row],[Red2]])/2))/256 )*($AN$3-Table4[[#This Row],[Blue2]])^2)</f>
        <v>326.87260395871357</v>
      </c>
      <c r="AP225" s="2">
        <f>SQRT((2+(($AO$3+Table4[[#This Row],[Red]])/2)/256)*($AO$3-Table4[[#This Row],[Red]])^2 + 4*($AP$3-Table4[[#This Row],[Green]])^2 + (2+(255-(($AO$3+Table4[[#This Row],[Red]])/2))/256 )*($AQ$3-Table4[[#This Row],[Blue]])^2)</f>
        <v>259.35783075704501</v>
      </c>
      <c r="AQ225" s="2">
        <f>SQRT(Table4[[#This Row],[diffPrimary2]]^2+Table4[[#This Row],[diffSecondary2]]^2)</f>
        <v>417.26752041556028</v>
      </c>
      <c r="AR225" s="786">
        <f>MIN(Table4[[#This Row],[MinOrig]],Table4[[#This Row],[MinSwap]])</f>
        <v>417.26752041556028</v>
      </c>
      <c r="AS225" s="2">
        <v>45.514120405100698</v>
      </c>
      <c r="AX225" s="4"/>
    </row>
    <row r="226" spans="1:50" x14ac:dyDescent="0.25">
      <c r="A226" t="s">
        <v>29</v>
      </c>
      <c r="B226">
        <v>0</v>
      </c>
      <c r="C226">
        <v>46</v>
      </c>
      <c r="D226">
        <v>93</v>
      </c>
      <c r="E226" s="117"/>
      <c r="F226">
        <v>255</v>
      </c>
      <c r="G226">
        <v>255</v>
      </c>
      <c r="H226">
        <v>255</v>
      </c>
      <c r="I226" s="3"/>
      <c r="J226">
        <v>0</v>
      </c>
      <c r="K226">
        <v>87</v>
      </c>
      <c r="L226">
        <v>184</v>
      </c>
      <c r="M226" s="118"/>
      <c r="Q226" s="4"/>
      <c r="U226" s="4"/>
      <c r="Y226" s="4"/>
      <c r="Z226">
        <f t="shared" si="33"/>
        <v>0</v>
      </c>
      <c r="AA226">
        <f t="shared" si="34"/>
        <v>0</v>
      </c>
      <c r="AB226">
        <f t="shared" si="35"/>
        <v>127.5</v>
      </c>
      <c r="AC226" s="26"/>
      <c r="AD226">
        <f t="shared" si="36"/>
        <v>255</v>
      </c>
      <c r="AE226">
        <f t="shared" si="37"/>
        <v>255</v>
      </c>
      <c r="AF226">
        <f t="shared" si="38"/>
        <v>255</v>
      </c>
      <c r="AG226" s="3"/>
      <c r="AH226">
        <f t="shared" si="30"/>
        <v>0</v>
      </c>
      <c r="AI226">
        <f t="shared" si="31"/>
        <v>127.5</v>
      </c>
      <c r="AJ226">
        <f t="shared" si="32"/>
        <v>127.5</v>
      </c>
      <c r="AK226" s="24"/>
      <c r="AL226">
        <f>SQRT((2+(($AL$3+Table4[[#This Row],[Red]])/2)/256)*($AL$3-Table4[[#This Row],[Red]])^2 + 4*($AM$3-Table4[[#This Row],[Green]])^2 + (2+(255-(($AL$3+Table4[[#This Row],[Red]])/2))/256 )*($AN$3-Table4[[#This Row],[Blue]])^2)</f>
        <v>534.00852565174466</v>
      </c>
      <c r="AM226">
        <f>SQRT((2+(($AO$3+Table4[[#This Row],[Red2]])/2)/256)*($AO$3-Table4[[#This Row],[Red2]])^2 + 4*($AP$3-Table4[[#This Row],[Green2]])^2 + (2+(255-(($AO$3+Table4[[#This Row],[Red2]])/2))/256 )*($AQ$3-Table4[[#This Row],[Blue2]])^2)</f>
        <v>764.83396635724148</v>
      </c>
      <c r="AN226">
        <f>SQRT(Table4[[#This Row],[diffPrimary]]^2+Table4[[#This Row],[diffSecondary]]^2)</f>
        <v>932.81086055132312</v>
      </c>
      <c r="AO226" s="2">
        <f>SQRT((2+(($AL$3+Table4[[#This Row],[Red2]])/2)/256)*($AL$3-Table4[[#This Row],[Red2]])^2 + 4*($AM$3-Table4[[#This Row],[Green2]])^2 + (2+(255-(($AL$3+Table4[[#This Row],[Red2]])/2))/256 )*($AN$3-Table4[[#This Row],[Blue2]])^2)</f>
        <v>374.23254802328461</v>
      </c>
      <c r="AP226" s="2">
        <f>SQRT((2+(($AO$3+Table4[[#This Row],[Red]])/2)/256)*($AO$3-Table4[[#This Row],[Red]])^2 + 4*($AP$3-Table4[[#This Row],[Green]])^2 + (2+(255-(($AO$3+Table4[[#This Row],[Red]])/2))/256 )*($AQ$3-Table4[[#This Row],[Blue]])^2)</f>
        <v>185.41093507058855</v>
      </c>
      <c r="AQ226" s="2">
        <f>SQRT(Table4[[#This Row],[diffPrimary2]]^2+Table4[[#This Row],[diffSecondary2]]^2)</f>
        <v>417.64484295122099</v>
      </c>
      <c r="AR226" s="786">
        <f>MIN(Table4[[#This Row],[MinOrig]],Table4[[#This Row],[MinSwap]])</f>
        <v>417.64484295122099</v>
      </c>
      <c r="AS226" s="2">
        <v>27.986324785509101</v>
      </c>
      <c r="AX226" s="4"/>
    </row>
    <row r="227" spans="1:50" x14ac:dyDescent="0.25">
      <c r="A227" t="s">
        <v>42</v>
      </c>
      <c r="B227">
        <v>79</v>
      </c>
      <c r="C227">
        <v>45</v>
      </c>
      <c r="D227">
        <v>127</v>
      </c>
      <c r="E227" s="150"/>
      <c r="F227">
        <v>129</v>
      </c>
      <c r="G227">
        <v>138</v>
      </c>
      <c r="H227">
        <v>143</v>
      </c>
      <c r="I227" s="151"/>
      <c r="J227">
        <v>255</v>
      </c>
      <c r="K227">
        <v>255</v>
      </c>
      <c r="L227">
        <v>255</v>
      </c>
      <c r="M227" s="3"/>
      <c r="N227">
        <v>0</v>
      </c>
      <c r="O227">
        <v>0</v>
      </c>
      <c r="P227">
        <v>0</v>
      </c>
      <c r="Q227" s="4"/>
      <c r="U227" s="4"/>
      <c r="Y227" s="4"/>
      <c r="Z227">
        <f t="shared" si="33"/>
        <v>127.5</v>
      </c>
      <c r="AA227">
        <f t="shared" si="34"/>
        <v>0</v>
      </c>
      <c r="AB227">
        <f t="shared" si="35"/>
        <v>127.5</v>
      </c>
      <c r="AC227" s="30"/>
      <c r="AD227">
        <f t="shared" si="36"/>
        <v>127.5</v>
      </c>
      <c r="AE227">
        <f t="shared" si="37"/>
        <v>127.5</v>
      </c>
      <c r="AF227">
        <f t="shared" si="38"/>
        <v>127.5</v>
      </c>
      <c r="AG227" s="32"/>
      <c r="AH227">
        <f t="shared" si="30"/>
        <v>255</v>
      </c>
      <c r="AI227">
        <f t="shared" si="31"/>
        <v>255</v>
      </c>
      <c r="AJ227">
        <f t="shared" si="32"/>
        <v>255</v>
      </c>
      <c r="AK227" s="3"/>
      <c r="AL227">
        <f>SQRT((2+(($AL$3+Table4[[#This Row],[Red]])/2)/256)*($AL$3-Table4[[#This Row],[Red]])^2 + 4*($AM$3-Table4[[#This Row],[Green]])^2 + (2+(255-(($AL$3+Table4[[#This Row],[Red]])/2))/256 )*($AN$3-Table4[[#This Row],[Blue]])^2)</f>
        <v>471.55205836683609</v>
      </c>
      <c r="AM227">
        <f>SQRT((2+(($AO$3+Table4[[#This Row],[Red2]])/2)/256)*($AO$3-Table4[[#This Row],[Red2]])^2 + 4*($AP$3-Table4[[#This Row],[Green2]])^2 + (2+(255-(($AO$3+Table4[[#This Row],[Red2]])/2))/256 )*($AQ$3-Table4[[#This Row],[Blue2]])^2)</f>
        <v>412.02631420062238</v>
      </c>
      <c r="AN227">
        <f>SQRT(Table4[[#This Row],[diffPrimary]]^2+Table4[[#This Row],[diffSecondary]]^2)</f>
        <v>626.20046897439317</v>
      </c>
      <c r="AO227" s="2">
        <f>SQRT((2+(($AL$3+Table4[[#This Row],[Red2]])/2)/256)*($AL$3-Table4[[#This Row],[Red2]])^2 + 4*($AM$3-Table4[[#This Row],[Green2]])^2 + (2+(255-(($AL$3+Table4[[#This Row],[Red2]])/2))/256 )*($AN$3-Table4[[#This Row],[Blue2]])^2)</f>
        <v>327.94110918539934</v>
      </c>
      <c r="AP227" s="2">
        <f>SQRT((2+(($AO$3+Table4[[#This Row],[Red]])/2)/256)*($AO$3-Table4[[#This Row],[Red]])^2 + 4*($AP$3-Table4[[#This Row],[Green]])^2 + (2+(255-(($AO$3+Table4[[#This Row],[Red]])/2))/256 )*($AQ$3-Table4[[#This Row],[Blue]])^2)</f>
        <v>259.57717271314516</v>
      </c>
      <c r="AQ227" s="2">
        <f>SQRT(Table4[[#This Row],[diffPrimary2]]^2+Table4[[#This Row],[diffSecondary2]]^2)</f>
        <v>418.24117407005735</v>
      </c>
      <c r="AR227" s="786">
        <f>MIN(Table4[[#This Row],[MinOrig]],Table4[[#This Row],[MinSwap]])</f>
        <v>418.24117407005735</v>
      </c>
      <c r="AS227" s="2">
        <v>77.926648202011094</v>
      </c>
      <c r="AX227" s="4"/>
    </row>
    <row r="228" spans="1:50" x14ac:dyDescent="0.25">
      <c r="A228" t="s">
        <v>197</v>
      </c>
      <c r="B228">
        <v>204</v>
      </c>
      <c r="C228">
        <v>0</v>
      </c>
      <c r="D228">
        <v>0</v>
      </c>
      <c r="E228" s="109"/>
      <c r="F228">
        <v>0</v>
      </c>
      <c r="G228">
        <v>0</v>
      </c>
      <c r="H228">
        <v>0</v>
      </c>
      <c r="I228" s="4"/>
      <c r="J228">
        <v>255</v>
      </c>
      <c r="K228">
        <v>255</v>
      </c>
      <c r="L228">
        <v>255</v>
      </c>
      <c r="M228" s="3"/>
      <c r="Q228" s="4"/>
      <c r="U228" s="4"/>
      <c r="Y228" s="4"/>
      <c r="Z228">
        <f t="shared" si="33"/>
        <v>255</v>
      </c>
      <c r="AA228">
        <f t="shared" si="34"/>
        <v>0</v>
      </c>
      <c r="AB228">
        <f t="shared" si="35"/>
        <v>0</v>
      </c>
      <c r="AC228" s="5"/>
      <c r="AD228">
        <f t="shared" si="36"/>
        <v>0</v>
      </c>
      <c r="AE228">
        <f t="shared" si="37"/>
        <v>0</v>
      </c>
      <c r="AF228">
        <f t="shared" si="38"/>
        <v>0</v>
      </c>
      <c r="AG228" s="4"/>
      <c r="AH228">
        <f t="shared" ref="AH228:AH291" si="39">ROUND(J228/255*$AA$2,0)*$AC$2/$AA$2</f>
        <v>255</v>
      </c>
      <c r="AI228">
        <f t="shared" ref="AI228:AI291" si="40">ROUND(K228/255*$AA$2,0)*$AC$2/$AA$2</f>
        <v>255</v>
      </c>
      <c r="AJ228">
        <f t="shared" ref="AJ228:AJ291" si="41">ROUND(L228/255*$AA$2,0)*$AC$2/$AA$2</f>
        <v>255</v>
      </c>
      <c r="AK228" s="3"/>
      <c r="AL228">
        <f>SQRT((2+(($AL$3+Table4[[#This Row],[Red]])/2)/256)*($AL$3-Table4[[#This Row],[Red]])^2 + 4*($AM$3-Table4[[#This Row],[Green]])^2 + (2+(255-(($AL$3+Table4[[#This Row],[Red]])/2))/256 )*($AN$3-Table4[[#This Row],[Blue]])^2)</f>
        <v>419.08681184138328</v>
      </c>
      <c r="AM228">
        <f>SQRT((2+(($AO$3+Table4[[#This Row],[Red2]])/2)/256)*($AO$3-Table4[[#This Row],[Red2]])^2 + 4*($AP$3-Table4[[#This Row],[Green2]])^2 + (2+(255-(($AO$3+Table4[[#This Row],[Red2]])/2))/256 )*($AQ$3-Table4[[#This Row],[Blue2]])^2)</f>
        <v>0</v>
      </c>
      <c r="AN228">
        <f>SQRT(Table4[[#This Row],[diffPrimary]]^2+Table4[[#This Row],[diffSecondary]]^2)</f>
        <v>419.08681184138328</v>
      </c>
      <c r="AO228" s="2">
        <f>SQRT((2+(($AL$3+Table4[[#This Row],[Red2]])/2)/256)*($AL$3-Table4[[#This Row],[Red2]])^2 + 4*($AM$3-Table4[[#This Row],[Green2]])^2 + (2+(255-(($AL$3+Table4[[#This Row],[Red2]])/2))/256 )*($AN$3-Table4[[#This Row],[Blue2]])^2)</f>
        <v>574.92216694686158</v>
      </c>
      <c r="AP228" s="2">
        <f>SQRT((2+(($AO$3+Table4[[#This Row],[Red]])/2)/256)*($AO$3-Table4[[#This Row],[Red]])^2 + 4*($AP$3-Table4[[#This Row],[Green]])^2 + (2+(255-(($AO$3+Table4[[#This Row],[Red]])/2))/256 )*($AQ$3-Table4[[#This Row],[Blue]])^2)</f>
        <v>315.93254818077861</v>
      </c>
      <c r="AQ228" s="2">
        <f>SQRT(Table4[[#This Row],[diffPrimary2]]^2+Table4[[#This Row],[diffSecondary2]]^2)</f>
        <v>656.00981170015666</v>
      </c>
      <c r="AR228" s="786">
        <f>MIN(Table4[[#This Row],[MinOrig]],Table4[[#This Row],[MinSwap]])</f>
        <v>419.08681184138328</v>
      </c>
      <c r="AS228" s="2">
        <v>0</v>
      </c>
      <c r="AX228" s="4"/>
    </row>
    <row r="229" spans="1:50" x14ac:dyDescent="0.25">
      <c r="A229" t="s">
        <v>290</v>
      </c>
      <c r="B229">
        <v>204</v>
      </c>
      <c r="C229">
        <v>0</v>
      </c>
      <c r="D229">
        <v>0</v>
      </c>
      <c r="E229" s="109"/>
      <c r="F229">
        <v>0</v>
      </c>
      <c r="G229">
        <v>0</v>
      </c>
      <c r="H229">
        <v>0</v>
      </c>
      <c r="I229" s="4"/>
      <c r="J229">
        <v>255</v>
      </c>
      <c r="K229">
        <v>255</v>
      </c>
      <c r="L229">
        <v>255</v>
      </c>
      <c r="M229" s="3"/>
      <c r="Q229" s="4"/>
      <c r="U229" s="4"/>
      <c r="Y229" s="4"/>
      <c r="Z229">
        <f t="shared" si="33"/>
        <v>255</v>
      </c>
      <c r="AA229">
        <f t="shared" si="34"/>
        <v>0</v>
      </c>
      <c r="AB229">
        <f t="shared" si="35"/>
        <v>0</v>
      </c>
      <c r="AC229" s="5"/>
      <c r="AD229">
        <f t="shared" si="36"/>
        <v>0</v>
      </c>
      <c r="AE229">
        <f t="shared" si="37"/>
        <v>0</v>
      </c>
      <c r="AF229">
        <f t="shared" si="38"/>
        <v>0</v>
      </c>
      <c r="AG229" s="4"/>
      <c r="AH229">
        <f t="shared" si="39"/>
        <v>255</v>
      </c>
      <c r="AI229">
        <f t="shared" si="40"/>
        <v>255</v>
      </c>
      <c r="AJ229">
        <f t="shared" si="41"/>
        <v>255</v>
      </c>
      <c r="AK229" s="3"/>
      <c r="AL229">
        <f>SQRT((2+(($AL$3+Table4[[#This Row],[Red]])/2)/256)*($AL$3-Table4[[#This Row],[Red]])^2 + 4*($AM$3-Table4[[#This Row],[Green]])^2 + (2+(255-(($AL$3+Table4[[#This Row],[Red]])/2))/256 )*($AN$3-Table4[[#This Row],[Blue]])^2)</f>
        <v>419.08681184138328</v>
      </c>
      <c r="AM229">
        <f>SQRT((2+(($AO$3+Table4[[#This Row],[Red2]])/2)/256)*($AO$3-Table4[[#This Row],[Red2]])^2 + 4*($AP$3-Table4[[#This Row],[Green2]])^2 + (2+(255-(($AO$3+Table4[[#This Row],[Red2]])/2))/256 )*($AQ$3-Table4[[#This Row],[Blue2]])^2)</f>
        <v>0</v>
      </c>
      <c r="AN229">
        <f>SQRT(Table4[[#This Row],[diffPrimary]]^2+Table4[[#This Row],[diffSecondary]]^2)</f>
        <v>419.08681184138328</v>
      </c>
      <c r="AO229" s="2">
        <f>SQRT((2+(($AL$3+Table4[[#This Row],[Red2]])/2)/256)*($AL$3-Table4[[#This Row],[Red2]])^2 + 4*($AM$3-Table4[[#This Row],[Green2]])^2 + (2+(255-(($AL$3+Table4[[#This Row],[Red2]])/2))/256 )*($AN$3-Table4[[#This Row],[Blue2]])^2)</f>
        <v>574.92216694686158</v>
      </c>
      <c r="AP229" s="2">
        <f>SQRT((2+(($AO$3+Table4[[#This Row],[Red]])/2)/256)*($AO$3-Table4[[#This Row],[Red]])^2 + 4*($AP$3-Table4[[#This Row],[Green]])^2 + (2+(255-(($AO$3+Table4[[#This Row],[Red]])/2))/256 )*($AQ$3-Table4[[#This Row],[Blue]])^2)</f>
        <v>315.93254818077861</v>
      </c>
      <c r="AQ229" s="2">
        <f>SQRT(Table4[[#This Row],[diffPrimary2]]^2+Table4[[#This Row],[diffSecondary2]]^2)</f>
        <v>656.00981170015666</v>
      </c>
      <c r="AR229" s="786">
        <f>MIN(Table4[[#This Row],[MinOrig]],Table4[[#This Row],[MinSwap]])</f>
        <v>419.08681184138328</v>
      </c>
      <c r="AS229" s="2">
        <v>0</v>
      </c>
      <c r="AX229" s="4"/>
    </row>
    <row r="230" spans="1:50" x14ac:dyDescent="0.25">
      <c r="A230" t="s">
        <v>272</v>
      </c>
      <c r="B230">
        <v>186</v>
      </c>
      <c r="C230">
        <v>12</v>
      </c>
      <c r="D230">
        <v>47</v>
      </c>
      <c r="E230" s="94"/>
      <c r="F230">
        <v>4</v>
      </c>
      <c r="G230">
        <v>28</v>
      </c>
      <c r="H230">
        <v>44</v>
      </c>
      <c r="I230" s="514"/>
      <c r="J230">
        <v>167</v>
      </c>
      <c r="K230">
        <v>168</v>
      </c>
      <c r="L230">
        <v>170</v>
      </c>
      <c r="M230" s="253"/>
      <c r="N230">
        <v>255</v>
      </c>
      <c r="O230">
        <v>255</v>
      </c>
      <c r="P230">
        <v>255</v>
      </c>
      <c r="Q230" s="3"/>
      <c r="U230" s="4"/>
      <c r="Y230" s="4"/>
      <c r="Z230">
        <f t="shared" si="33"/>
        <v>127.5</v>
      </c>
      <c r="AA230">
        <f t="shared" si="34"/>
        <v>0</v>
      </c>
      <c r="AB230">
        <f t="shared" si="35"/>
        <v>0</v>
      </c>
      <c r="AC230" s="27"/>
      <c r="AD230">
        <f t="shared" si="36"/>
        <v>0</v>
      </c>
      <c r="AE230">
        <f t="shared" si="37"/>
        <v>0</v>
      </c>
      <c r="AF230">
        <f t="shared" si="38"/>
        <v>0</v>
      </c>
      <c r="AG230" s="4"/>
      <c r="AH230">
        <f t="shared" si="39"/>
        <v>127.5</v>
      </c>
      <c r="AI230">
        <f t="shared" si="40"/>
        <v>127.5</v>
      </c>
      <c r="AJ230">
        <f t="shared" si="41"/>
        <v>127.5</v>
      </c>
      <c r="AK230" s="32"/>
      <c r="AL230">
        <f>SQRT((2+(($AL$3+Table4[[#This Row],[Red]])/2)/256)*($AL$3-Table4[[#This Row],[Red]])^2 + 4*($AM$3-Table4[[#This Row],[Green]])^2 + (2+(255-(($AL$3+Table4[[#This Row],[Red]])/2))/256 )*($AN$3-Table4[[#This Row],[Blue]])^2)</f>
        <v>409.06537432145245</v>
      </c>
      <c r="AM230">
        <f>SQRT((2+(($AO$3+Table4[[#This Row],[Red2]])/2)/256)*($AO$3-Table4[[#This Row],[Red2]])^2 + 4*($AP$3-Table4[[#This Row],[Green2]])^2 + (2+(255-(($AO$3+Table4[[#This Row],[Red2]])/2))/256 )*($AQ$3-Table4[[#This Row],[Blue2]])^2)</f>
        <v>94.622605650024241</v>
      </c>
      <c r="AN230">
        <f>SQRT(Table4[[#This Row],[diffPrimary]]^2+Table4[[#This Row],[diffSecondary]]^2)</f>
        <v>419.86654780864598</v>
      </c>
      <c r="AO230" s="2">
        <f>SQRT((2+(($AL$3+Table4[[#This Row],[Red2]])/2)/256)*($AL$3-Table4[[#This Row],[Red2]])^2 + 4*($AM$3-Table4[[#This Row],[Green2]])^2 + (2+(255-(($AL$3+Table4[[#This Row],[Red2]])/2))/256 )*($AN$3-Table4[[#This Row],[Blue2]])^2)</f>
        <v>536.66445777075171</v>
      </c>
      <c r="AP230" s="2">
        <f>SQRT((2+(($AO$3+Table4[[#This Row],[Red]])/2)/256)*($AO$3-Table4[[#This Row],[Red]])^2 + 4*($AP$3-Table4[[#This Row],[Green]])^2 + (2+(255-(($AO$3+Table4[[#This Row],[Red]])/2))/256 )*($AQ$3-Table4[[#This Row],[Blue]])^2)</f>
        <v>296.90395911388583</v>
      </c>
      <c r="AQ230" s="2">
        <f>SQRT(Table4[[#This Row],[diffPrimary2]]^2+Table4[[#This Row],[diffSecondary2]]^2)</f>
        <v>613.31941202922553</v>
      </c>
      <c r="AR230" s="786">
        <f>MIN(Table4[[#This Row],[MinOrig]],Table4[[#This Row],[MinSwap]])</f>
        <v>419.86654780864598</v>
      </c>
      <c r="AS230" s="2">
        <v>38.190926605674299</v>
      </c>
      <c r="AX230" s="4"/>
    </row>
    <row r="231" spans="1:50" x14ac:dyDescent="0.25">
      <c r="A231" t="s">
        <v>313</v>
      </c>
      <c r="B231">
        <v>39</v>
      </c>
      <c r="C231">
        <v>93</v>
      </c>
      <c r="D231">
        <v>56</v>
      </c>
      <c r="E231" s="608"/>
      <c r="F231">
        <v>0</v>
      </c>
      <c r="G231">
        <v>0</v>
      </c>
      <c r="H231">
        <v>0</v>
      </c>
      <c r="I231" s="4"/>
      <c r="J231">
        <v>142</v>
      </c>
      <c r="K231">
        <v>140</v>
      </c>
      <c r="L231">
        <v>137</v>
      </c>
      <c r="M231" s="609"/>
      <c r="Q231" s="4"/>
      <c r="U231" s="4"/>
      <c r="Y231" s="4"/>
      <c r="Z231">
        <f t="shared" si="33"/>
        <v>0</v>
      </c>
      <c r="AA231">
        <f t="shared" si="34"/>
        <v>127.5</v>
      </c>
      <c r="AB231">
        <f t="shared" si="35"/>
        <v>0</v>
      </c>
      <c r="AC231" s="34"/>
      <c r="AD231">
        <f t="shared" si="36"/>
        <v>0</v>
      </c>
      <c r="AE231">
        <f t="shared" si="37"/>
        <v>0</v>
      </c>
      <c r="AF231">
        <f t="shared" si="38"/>
        <v>0</v>
      </c>
      <c r="AG231" s="4"/>
      <c r="AH231">
        <f t="shared" si="39"/>
        <v>127.5</v>
      </c>
      <c r="AI231">
        <f t="shared" si="40"/>
        <v>127.5</v>
      </c>
      <c r="AJ231">
        <f t="shared" si="41"/>
        <v>127.5</v>
      </c>
      <c r="AK231" s="32"/>
      <c r="AL231">
        <f>SQRT((2+(($AL$3+Table4[[#This Row],[Red]])/2)/256)*($AL$3-Table4[[#This Row],[Red]])^2 + 4*($AM$3-Table4[[#This Row],[Green]])^2 + (2+(255-(($AL$3+Table4[[#This Row],[Red]])/2))/256 )*($AN$3-Table4[[#This Row],[Blue]])^2)</f>
        <v>421.75081505552544</v>
      </c>
      <c r="AM231">
        <f>SQRT((2+(($AO$3+Table4[[#This Row],[Red2]])/2)/256)*($AO$3-Table4[[#This Row],[Red2]])^2 + 4*($AP$3-Table4[[#This Row],[Green2]])^2 + (2+(255-(($AO$3+Table4[[#This Row],[Red2]])/2))/256 )*($AQ$3-Table4[[#This Row],[Blue2]])^2)</f>
        <v>0</v>
      </c>
      <c r="AN231">
        <f>SQRT(Table4[[#This Row],[diffPrimary]]^2+Table4[[#This Row],[diffSecondary]]^2)</f>
        <v>421.75081505552544</v>
      </c>
      <c r="AO231" s="2">
        <f>SQRT((2+(($AL$3+Table4[[#This Row],[Red2]])/2)/256)*($AL$3-Table4[[#This Row],[Red2]])^2 + 4*($AM$3-Table4[[#This Row],[Green2]])^2 + (2+(255-(($AL$3+Table4[[#This Row],[Red2]])/2))/256 )*($AN$3-Table4[[#This Row],[Blue2]])^2)</f>
        <v>574.92216694686158</v>
      </c>
      <c r="AP231" s="2">
        <f>SQRT((2+(($AO$3+Table4[[#This Row],[Red]])/2)/256)*($AO$3-Table4[[#This Row],[Red]])^2 + 4*($AP$3-Table4[[#This Row],[Green]])^2 + (2+(255-(($AO$3+Table4[[#This Row],[Red]])/2))/256 )*($AQ$3-Table4[[#This Row],[Blue]])^2)</f>
        <v>216.58885571948295</v>
      </c>
      <c r="AQ231" s="2">
        <f>SQRT(Table4[[#This Row],[diffPrimary2]]^2+Table4[[#This Row],[diffSecondary2]]^2)</f>
        <v>614.36652779000747</v>
      </c>
      <c r="AR231" s="786">
        <f>MIN(Table4[[#This Row],[MinOrig]],Table4[[#This Row],[MinSwap]])</f>
        <v>421.75081505552544</v>
      </c>
      <c r="AS231" s="2">
        <v>58.3983826295729</v>
      </c>
      <c r="AX231" s="4"/>
    </row>
    <row r="232" spans="1:50" x14ac:dyDescent="0.25">
      <c r="A232" t="s">
        <v>452</v>
      </c>
      <c r="B232">
        <v>255</v>
      </c>
      <c r="C232">
        <v>163</v>
      </c>
      <c r="D232">
        <v>0</v>
      </c>
      <c r="E232" s="584"/>
      <c r="F232">
        <v>240</v>
      </c>
      <c r="G232">
        <v>80</v>
      </c>
      <c r="H232">
        <v>35</v>
      </c>
      <c r="I232" s="585"/>
      <c r="J232">
        <v>0</v>
      </c>
      <c r="K232">
        <v>132</v>
      </c>
      <c r="L232">
        <v>61</v>
      </c>
      <c r="M232" s="586"/>
      <c r="N232">
        <v>12</v>
      </c>
      <c r="O232">
        <v>35</v>
      </c>
      <c r="P232">
        <v>64</v>
      </c>
      <c r="Q232" s="90"/>
      <c r="U232" s="4"/>
      <c r="Y232" s="4"/>
      <c r="Z232">
        <f t="shared" si="33"/>
        <v>255</v>
      </c>
      <c r="AA232">
        <f t="shared" si="34"/>
        <v>127.5</v>
      </c>
      <c r="AB232">
        <f t="shared" si="35"/>
        <v>0</v>
      </c>
      <c r="AC232" s="28"/>
      <c r="AD232">
        <f t="shared" si="36"/>
        <v>255</v>
      </c>
      <c r="AE232">
        <f t="shared" si="37"/>
        <v>127.5</v>
      </c>
      <c r="AF232">
        <f t="shared" si="38"/>
        <v>0</v>
      </c>
      <c r="AG232" s="28"/>
      <c r="AH232">
        <f t="shared" si="39"/>
        <v>0</v>
      </c>
      <c r="AI232">
        <f t="shared" si="40"/>
        <v>127.5</v>
      </c>
      <c r="AJ232">
        <f t="shared" si="41"/>
        <v>0</v>
      </c>
      <c r="AK232" s="34"/>
      <c r="AL232">
        <f>SQRT((2+(($AL$3+Table4[[#This Row],[Red]])/2)/256)*($AL$3-Table4[[#This Row],[Red]])^2 + 4*($AM$3-Table4[[#This Row],[Green]])^2 + (2+(255-(($AL$3+Table4[[#This Row],[Red]])/2))/256 )*($AN$3-Table4[[#This Row],[Blue]])^2)</f>
        <v>84</v>
      </c>
      <c r="AM232">
        <f>SQRT((2+(($AO$3+Table4[[#This Row],[Red2]])/2)/256)*($AO$3-Table4[[#This Row],[Red2]])^2 + 4*($AP$3-Table4[[#This Row],[Green2]])^2 + (2+(255-(($AO$3+Table4[[#This Row],[Red2]])/2))/256 )*($AQ$3-Table4[[#This Row],[Blue2]])^2)</f>
        <v>413.39568949585095</v>
      </c>
      <c r="AN232">
        <f>SQRT(Table4[[#This Row],[diffPrimary]]^2+Table4[[#This Row],[diffSecondary]]^2)</f>
        <v>421.84356827353668</v>
      </c>
      <c r="AO232" s="2">
        <f>SQRT((2+(($AL$3+Table4[[#This Row],[Red2]])/2)/256)*($AL$3-Table4[[#This Row],[Red2]])^2 + 4*($AM$3-Table4[[#This Row],[Green2]])^2 + (2+(255-(($AL$3+Table4[[#This Row],[Red2]])/2))/256 )*($AN$3-Table4[[#This Row],[Blue2]])^2)</f>
        <v>256.2292293411312</v>
      </c>
      <c r="AP232" s="2">
        <f>SQRT((2+(($AO$3+Table4[[#This Row],[Red]])/2)/256)*($AO$3-Table4[[#This Row],[Red]])^2 + 4*($AP$3-Table4[[#This Row],[Green]])^2 + (2+(255-(($AO$3+Table4[[#This Row],[Red]])/2))/256 )*($AQ$3-Table4[[#This Row],[Blue]])^2)</f>
        <v>518.373897922026</v>
      </c>
      <c r="AQ232" s="2">
        <f>SQRT(Table4[[#This Row],[diffPrimary2]]^2+Table4[[#This Row],[diffSecondary2]]^2)</f>
        <v>578.24295587203233</v>
      </c>
      <c r="AR232" s="786">
        <f>MIN(Table4[[#This Row],[MinOrig]],Table4[[#This Row],[MinSwap]])</f>
        <v>421.84356827353668</v>
      </c>
      <c r="AS232" s="2">
        <v>94.944504761334102</v>
      </c>
      <c r="AX232" s="4"/>
    </row>
    <row r="233" spans="1:50" x14ac:dyDescent="0.25">
      <c r="A233" t="s">
        <v>202</v>
      </c>
      <c r="B233">
        <v>5</v>
      </c>
      <c r="C233">
        <v>144</v>
      </c>
      <c r="D233">
        <v>51</v>
      </c>
      <c r="E233" s="412"/>
      <c r="F233">
        <v>0</v>
      </c>
      <c r="G233">
        <v>0</v>
      </c>
      <c r="H233">
        <v>0</v>
      </c>
      <c r="I233" s="4"/>
      <c r="M233" s="4"/>
      <c r="Q233" s="4"/>
      <c r="U233" s="4"/>
      <c r="Y233" s="4"/>
      <c r="Z233">
        <f t="shared" si="33"/>
        <v>0</v>
      </c>
      <c r="AA233">
        <f t="shared" si="34"/>
        <v>127.5</v>
      </c>
      <c r="AB233">
        <f t="shared" si="35"/>
        <v>0</v>
      </c>
      <c r="AC233" s="34"/>
      <c r="AD233">
        <f t="shared" si="36"/>
        <v>0</v>
      </c>
      <c r="AE233">
        <f t="shared" si="37"/>
        <v>0</v>
      </c>
      <c r="AF233">
        <f t="shared" si="38"/>
        <v>0</v>
      </c>
      <c r="AG233" s="4"/>
      <c r="AH233">
        <f t="shared" si="39"/>
        <v>0</v>
      </c>
      <c r="AI233">
        <f t="shared" si="40"/>
        <v>0</v>
      </c>
      <c r="AJ233">
        <f t="shared" si="41"/>
        <v>0</v>
      </c>
      <c r="AK233" s="4"/>
      <c r="AL233">
        <f>SQRT((2+(($AL$3+Table4[[#This Row],[Red]])/2)/256)*($AL$3-Table4[[#This Row],[Red]])^2 + 4*($AM$3-Table4[[#This Row],[Green]])^2 + (2+(255-(($AL$3+Table4[[#This Row],[Red]])/2))/256 )*($AN$3-Table4[[#This Row],[Blue]])^2)</f>
        <v>422.01220454063883</v>
      </c>
      <c r="AM233">
        <f>SQRT((2+(($AO$3+Table4[[#This Row],[Red2]])/2)/256)*($AO$3-Table4[[#This Row],[Red2]])^2 + 4*($AP$3-Table4[[#This Row],[Green2]])^2 + (2+(255-(($AO$3+Table4[[#This Row],[Red2]])/2))/256 )*($AQ$3-Table4[[#This Row],[Blue2]])^2)</f>
        <v>0</v>
      </c>
      <c r="AN233">
        <f>SQRT(Table4[[#This Row],[diffPrimary]]^2+Table4[[#This Row],[diffSecondary]]^2)</f>
        <v>422.01220454063883</v>
      </c>
      <c r="AO233" s="2">
        <f>SQRT((2+(($AL$3+Table4[[#This Row],[Red2]])/2)/256)*($AL$3-Table4[[#This Row],[Red2]])^2 + 4*($AM$3-Table4[[#This Row],[Green2]])^2 + (2+(255-(($AL$3+Table4[[#This Row],[Red2]])/2))/256 )*($AN$3-Table4[[#This Row],[Blue2]])^2)</f>
        <v>574.92216694686158</v>
      </c>
      <c r="AP233" s="2">
        <f>SQRT((2+(($AO$3+Table4[[#This Row],[Red]])/2)/256)*($AO$3-Table4[[#This Row],[Red]])^2 + 4*($AP$3-Table4[[#This Row],[Green]])^2 + (2+(255-(($AO$3+Table4[[#This Row],[Red]])/2))/256 )*($AQ$3-Table4[[#This Row],[Blue]])^2)</f>
        <v>301.26679802751249</v>
      </c>
      <c r="AQ233" s="2">
        <f>SQRT(Table4[[#This Row],[diffPrimary2]]^2+Table4[[#This Row],[diffSecondary2]]^2)</f>
        <v>649.0740956475039</v>
      </c>
      <c r="AR233" s="786">
        <f>MIN(Table4[[#This Row],[MinOrig]],Table4[[#This Row],[MinSwap]])</f>
        <v>422.01220454063883</v>
      </c>
      <c r="AS233" s="2">
        <v>66.243012603217295</v>
      </c>
      <c r="AX233" s="4"/>
    </row>
    <row r="234" spans="1:50" x14ac:dyDescent="0.25">
      <c r="A234" t="s">
        <v>188</v>
      </c>
      <c r="B234">
        <v>186</v>
      </c>
      <c r="C234">
        <v>12</v>
      </c>
      <c r="D234">
        <v>47</v>
      </c>
      <c r="E234" s="94"/>
      <c r="F234">
        <v>167</v>
      </c>
      <c r="G234">
        <v>168</v>
      </c>
      <c r="H234">
        <v>170</v>
      </c>
      <c r="I234" s="253"/>
      <c r="J234">
        <v>99</v>
      </c>
      <c r="K234">
        <v>102</v>
      </c>
      <c r="L234">
        <v>106</v>
      </c>
      <c r="M234" s="348"/>
      <c r="N234">
        <v>0</v>
      </c>
      <c r="O234">
        <v>137</v>
      </c>
      <c r="P234">
        <v>149</v>
      </c>
      <c r="Q234" s="390"/>
      <c r="R234">
        <v>0</v>
      </c>
      <c r="S234">
        <v>0</v>
      </c>
      <c r="T234">
        <v>0</v>
      </c>
      <c r="U234" s="4"/>
      <c r="Y234" s="4"/>
      <c r="Z234">
        <f t="shared" si="33"/>
        <v>127.5</v>
      </c>
      <c r="AA234">
        <f t="shared" si="34"/>
        <v>0</v>
      </c>
      <c r="AB234">
        <f t="shared" si="35"/>
        <v>0</v>
      </c>
      <c r="AC234" s="27"/>
      <c r="AD234">
        <f t="shared" si="36"/>
        <v>127.5</v>
      </c>
      <c r="AE234">
        <f t="shared" si="37"/>
        <v>127.5</v>
      </c>
      <c r="AF234">
        <f t="shared" si="38"/>
        <v>127.5</v>
      </c>
      <c r="AG234" s="32"/>
      <c r="AH234">
        <f t="shared" si="39"/>
        <v>127.5</v>
      </c>
      <c r="AI234">
        <f t="shared" si="40"/>
        <v>127.5</v>
      </c>
      <c r="AJ234">
        <f t="shared" si="41"/>
        <v>127.5</v>
      </c>
      <c r="AK234" s="32"/>
      <c r="AL234">
        <f>SQRT((2+(($AL$3+Table4[[#This Row],[Red]])/2)/256)*($AL$3-Table4[[#This Row],[Red]])^2 + 4*($AM$3-Table4[[#This Row],[Green]])^2 + (2+(255-(($AL$3+Table4[[#This Row],[Red]])/2))/256 )*($AN$3-Table4[[#This Row],[Blue]])^2)</f>
        <v>409.06537432145245</v>
      </c>
      <c r="AM234">
        <f>SQRT((2+(($AO$3+Table4[[#This Row],[Red2]])/2)/256)*($AO$3-Table4[[#This Row],[Red2]])^2 + 4*($AP$3-Table4[[#This Row],[Green2]])^2 + (2+(255-(($AO$3+Table4[[#This Row],[Red2]])/2))/256 )*($AQ$3-Table4[[#This Row],[Blue2]])^2)</f>
        <v>504.90726832694241</v>
      </c>
      <c r="AN234">
        <f>SQRT(Table4[[#This Row],[diffPrimary]]^2+Table4[[#This Row],[diffSecondary]]^2)</f>
        <v>649.8198443246597</v>
      </c>
      <c r="AO234" s="2">
        <f>SQRT((2+(($AL$3+Table4[[#This Row],[Red2]])/2)/256)*($AL$3-Table4[[#This Row],[Red2]])^2 + 4*($AM$3-Table4[[#This Row],[Green2]])^2 + (2+(255-(($AL$3+Table4[[#This Row],[Red2]])/2))/256 )*($AN$3-Table4[[#This Row],[Blue2]])^2)</f>
        <v>300.18983577063364</v>
      </c>
      <c r="AP234" s="2">
        <f>SQRT((2+(($AO$3+Table4[[#This Row],[Red]])/2)/256)*($AO$3-Table4[[#This Row],[Red]])^2 + 4*($AP$3-Table4[[#This Row],[Green]])^2 + (2+(255-(($AO$3+Table4[[#This Row],[Red]])/2))/256 )*($AQ$3-Table4[[#This Row],[Blue]])^2)</f>
        <v>296.90395911388583</v>
      </c>
      <c r="AQ234" s="2">
        <f>SQRT(Table4[[#This Row],[diffPrimary2]]^2+Table4[[#This Row],[diffSecondary2]]^2)</f>
        <v>422.21546446986048</v>
      </c>
      <c r="AR234" s="786">
        <f>MIN(Table4[[#This Row],[MinOrig]],Table4[[#This Row],[MinSwap]])</f>
        <v>422.21546446986048</v>
      </c>
      <c r="AS234" s="2">
        <v>54.907165971301097</v>
      </c>
      <c r="AX234" s="4"/>
    </row>
    <row r="235" spans="1:50" x14ac:dyDescent="0.25">
      <c r="A235" t="s">
        <v>238</v>
      </c>
      <c r="B235">
        <v>20</v>
      </c>
      <c r="C235">
        <v>35</v>
      </c>
      <c r="D235">
        <v>75</v>
      </c>
      <c r="E235" s="461"/>
      <c r="F235">
        <v>166</v>
      </c>
      <c r="G235">
        <v>25</v>
      </c>
      <c r="H235">
        <v>46</v>
      </c>
      <c r="I235" s="195"/>
      <c r="J235">
        <v>178</v>
      </c>
      <c r="K235">
        <v>177</v>
      </c>
      <c r="L235">
        <v>144</v>
      </c>
      <c r="M235" s="462"/>
      <c r="N235">
        <v>255</v>
      </c>
      <c r="O235">
        <v>255</v>
      </c>
      <c r="P235">
        <v>255</v>
      </c>
      <c r="Q235" s="3"/>
      <c r="U235" s="4"/>
      <c r="Y235" s="4"/>
      <c r="Z235">
        <f t="shared" si="33"/>
        <v>0</v>
      </c>
      <c r="AA235">
        <f t="shared" si="34"/>
        <v>0</v>
      </c>
      <c r="AB235">
        <f t="shared" si="35"/>
        <v>127.5</v>
      </c>
      <c r="AC235" s="26"/>
      <c r="AD235">
        <f t="shared" si="36"/>
        <v>127.5</v>
      </c>
      <c r="AE235">
        <f t="shared" si="37"/>
        <v>0</v>
      </c>
      <c r="AF235">
        <f t="shared" si="38"/>
        <v>0</v>
      </c>
      <c r="AG235" s="27"/>
      <c r="AH235">
        <f t="shared" si="39"/>
        <v>127.5</v>
      </c>
      <c r="AI235">
        <f t="shared" si="40"/>
        <v>127.5</v>
      </c>
      <c r="AJ235">
        <f t="shared" si="41"/>
        <v>127.5</v>
      </c>
      <c r="AK235" s="32"/>
      <c r="AL235">
        <f>SQRT((2+(($AL$3+Table4[[#This Row],[Red]])/2)/256)*($AL$3-Table4[[#This Row],[Red]])^2 + 4*($AM$3-Table4[[#This Row],[Green]])^2 + (2+(255-(($AL$3+Table4[[#This Row],[Red]])/2))/256 )*($AN$3-Table4[[#This Row],[Blue]])^2)</f>
        <v>519.17593582883831</v>
      </c>
      <c r="AM235">
        <f>SQRT((2+(($AO$3+Table4[[#This Row],[Red2]])/2)/256)*($AO$3-Table4[[#This Row],[Red2]])^2 + 4*($AP$3-Table4[[#This Row],[Green2]])^2 + (2+(255-(($AO$3+Table4[[#This Row],[Red2]])/2))/256 )*($AQ$3-Table4[[#This Row],[Blue2]])^2)</f>
        <v>268.70031517473143</v>
      </c>
      <c r="AN235">
        <f>SQRT(Table4[[#This Row],[diffPrimary]]^2+Table4[[#This Row],[diffSecondary]]^2)</f>
        <v>584.58832670414324</v>
      </c>
      <c r="AO235" s="2">
        <f>SQRT((2+(($AL$3+Table4[[#This Row],[Red2]])/2)/256)*($AL$3-Table4[[#This Row],[Red2]])^2 + 4*($AM$3-Table4[[#This Row],[Green2]])^2 + (2+(255-(($AL$3+Table4[[#This Row],[Red2]])/2))/256 )*($AN$3-Table4[[#This Row],[Blue2]])^2)</f>
        <v>395.67030003289989</v>
      </c>
      <c r="AP235" s="2">
        <f>SQRT((2+(($AO$3+Table4[[#This Row],[Red]])/2)/256)*($AO$3-Table4[[#This Row],[Red]])^2 + 4*($AP$3-Table4[[#This Row],[Green]])^2 + (2+(255-(($AO$3+Table4[[#This Row],[Red]])/2))/256 )*($AQ$3-Table4[[#This Row],[Blue]])^2)</f>
        <v>149.49557110914691</v>
      </c>
      <c r="AQ235" s="2">
        <f>SQRT(Table4[[#This Row],[diffPrimary2]]^2+Table4[[#This Row],[diffSecondary2]]^2)</f>
        <v>422.97034424339375</v>
      </c>
      <c r="AR235" s="786">
        <f>MIN(Table4[[#This Row],[MinOrig]],Table4[[#This Row],[MinSwap]])</f>
        <v>422.97034424339375</v>
      </c>
      <c r="AS235" s="2">
        <v>32.572815064866603</v>
      </c>
      <c r="AX235" s="4"/>
    </row>
    <row r="236" spans="1:50" x14ac:dyDescent="0.25">
      <c r="A236" t="s">
        <v>253</v>
      </c>
      <c r="B236">
        <v>0</v>
      </c>
      <c r="C236">
        <v>51</v>
      </c>
      <c r="D236">
        <v>160</v>
      </c>
      <c r="E236" s="105"/>
      <c r="F236">
        <v>158</v>
      </c>
      <c r="G236">
        <v>162</v>
      </c>
      <c r="H236">
        <v>163</v>
      </c>
      <c r="I236" s="481"/>
      <c r="M236" s="4"/>
      <c r="Q236" s="4"/>
      <c r="U236" s="4"/>
      <c r="Y236" s="4"/>
      <c r="Z236">
        <f t="shared" si="33"/>
        <v>0</v>
      </c>
      <c r="AA236">
        <f t="shared" si="34"/>
        <v>0</v>
      </c>
      <c r="AB236">
        <f t="shared" si="35"/>
        <v>127.5</v>
      </c>
      <c r="AC236" s="26"/>
      <c r="AD236">
        <f t="shared" si="36"/>
        <v>127.5</v>
      </c>
      <c r="AE236">
        <f t="shared" si="37"/>
        <v>127.5</v>
      </c>
      <c r="AF236">
        <f t="shared" si="38"/>
        <v>127.5</v>
      </c>
      <c r="AG236" s="32"/>
      <c r="AH236">
        <f t="shared" si="39"/>
        <v>0</v>
      </c>
      <c r="AI236">
        <f t="shared" si="40"/>
        <v>0</v>
      </c>
      <c r="AJ236">
        <f t="shared" si="41"/>
        <v>0</v>
      </c>
      <c r="AK236" s="4"/>
      <c r="AL236">
        <f>SQRT((2+(($AL$3+Table4[[#This Row],[Red]])/2)/256)*($AL$3-Table4[[#This Row],[Red]])^2 + 4*($AM$3-Table4[[#This Row],[Green]])^2 + (2+(255-(($AL$3+Table4[[#This Row],[Red]])/2))/256 )*($AN$3-Table4[[#This Row],[Blue]])^2)</f>
        <v>566.78875963349435</v>
      </c>
      <c r="AM236">
        <f>SQRT((2+(($AO$3+Table4[[#This Row],[Red2]])/2)/256)*($AO$3-Table4[[#This Row],[Red2]])^2 + 4*($AP$3-Table4[[#This Row],[Green2]])^2 + (2+(255-(($AO$3+Table4[[#This Row],[Red2]])/2))/256 )*($AQ$3-Table4[[#This Row],[Blue2]])^2)</f>
        <v>483.74778746264047</v>
      </c>
      <c r="AN236">
        <f>SQRT(Table4[[#This Row],[diffPrimary]]^2+Table4[[#This Row],[diffSecondary]]^2)</f>
        <v>745.15865419511499</v>
      </c>
      <c r="AO236" s="2">
        <f>SQRT((2+(($AL$3+Table4[[#This Row],[Red2]])/2)/256)*($AL$3-Table4[[#This Row],[Red2]])^2 + 4*($AM$3-Table4[[#This Row],[Green2]])^2 + (2+(255-(($AL$3+Table4[[#This Row],[Red2]])/2))/256 )*($AN$3-Table4[[#This Row],[Blue2]])^2)</f>
        <v>303.27423517132149</v>
      </c>
      <c r="AP236" s="2">
        <f>SQRT((2+(($AO$3+Table4[[#This Row],[Red]])/2)/256)*($AO$3-Table4[[#This Row],[Red]])^2 + 4*($AP$3-Table4[[#This Row],[Green]])^2 + (2+(255-(($AO$3+Table4[[#This Row],[Red]])/2))/256 )*($AQ$3-Table4[[#This Row],[Blue]])^2)</f>
        <v>295.13386793114745</v>
      </c>
      <c r="AQ236" s="2">
        <f>SQRT(Table4[[#This Row],[diffPrimary2]]^2+Table4[[#This Row],[diffSecondary2]]^2)</f>
        <v>423.17757705099405</v>
      </c>
      <c r="AR236" s="786">
        <f>MIN(Table4[[#This Row],[MinOrig]],Table4[[#This Row],[MinSwap]])</f>
        <v>423.17757705099405</v>
      </c>
      <c r="AS236" s="2">
        <v>70.648558017839306</v>
      </c>
      <c r="AX236" s="4"/>
    </row>
    <row r="237" spans="1:50" x14ac:dyDescent="0.25">
      <c r="A237" t="s">
        <v>14</v>
      </c>
      <c r="B237">
        <v>204</v>
      </c>
      <c r="C237">
        <v>0</v>
      </c>
      <c r="D237">
        <v>51</v>
      </c>
      <c r="E237" s="81"/>
      <c r="F237">
        <v>0</v>
      </c>
      <c r="G237">
        <v>0</v>
      </c>
      <c r="H237">
        <v>0</v>
      </c>
      <c r="I237" s="4"/>
      <c r="M237" s="4"/>
      <c r="Q237" s="4"/>
      <c r="U237" s="4"/>
      <c r="Y237" s="4"/>
      <c r="Z237">
        <f t="shared" si="33"/>
        <v>255</v>
      </c>
      <c r="AA237">
        <f t="shared" si="34"/>
        <v>0</v>
      </c>
      <c r="AB237">
        <f t="shared" si="35"/>
        <v>0</v>
      </c>
      <c r="AC237" s="5"/>
      <c r="AD237">
        <f t="shared" si="36"/>
        <v>0</v>
      </c>
      <c r="AE237">
        <f t="shared" si="37"/>
        <v>0</v>
      </c>
      <c r="AF237">
        <f t="shared" si="38"/>
        <v>0</v>
      </c>
      <c r="AG237" s="4"/>
      <c r="AH237">
        <f t="shared" si="39"/>
        <v>0</v>
      </c>
      <c r="AI237">
        <f t="shared" si="40"/>
        <v>0</v>
      </c>
      <c r="AJ237">
        <f t="shared" si="41"/>
        <v>0</v>
      </c>
      <c r="AK237" s="4"/>
      <c r="AL237">
        <f>SQRT((2+(($AL$3+Table4[[#This Row],[Red]])/2)/256)*($AL$3-Table4[[#This Row],[Red]])^2 + 4*($AM$3-Table4[[#This Row],[Green]])^2 + (2+(255-(($AL$3+Table4[[#This Row],[Red]])/2))/256 )*($AN$3-Table4[[#This Row],[Blue]])^2)</f>
        <v>425.55239377043807</v>
      </c>
      <c r="AM237">
        <f>SQRT((2+(($AO$3+Table4[[#This Row],[Red2]])/2)/256)*($AO$3-Table4[[#This Row],[Red2]])^2 + 4*($AP$3-Table4[[#This Row],[Green2]])^2 + (2+(255-(($AO$3+Table4[[#This Row],[Red2]])/2))/256 )*($AQ$3-Table4[[#This Row],[Blue2]])^2)</f>
        <v>0</v>
      </c>
      <c r="AN237">
        <f>SQRT(Table4[[#This Row],[diffPrimary]]^2+Table4[[#This Row],[diffSecondary]]^2)</f>
        <v>425.55239377043807</v>
      </c>
      <c r="AO237" s="2">
        <f>SQRT((2+(($AL$3+Table4[[#This Row],[Red2]])/2)/256)*($AL$3-Table4[[#This Row],[Red2]])^2 + 4*($AM$3-Table4[[#This Row],[Green2]])^2 + (2+(255-(($AL$3+Table4[[#This Row],[Red2]])/2))/256 )*($AN$3-Table4[[#This Row],[Blue2]])^2)</f>
        <v>574.92216694686158</v>
      </c>
      <c r="AP237" s="2">
        <f>SQRT((2+(($AO$3+Table4[[#This Row],[Red]])/2)/256)*($AO$3-Table4[[#This Row],[Red]])^2 + 4*($AP$3-Table4[[#This Row],[Green]])^2 + (2+(255-(($AO$3+Table4[[#This Row],[Red]])/2))/256 )*($AQ$3-Table4[[#This Row],[Blue]])^2)</f>
        <v>326.45042335131075</v>
      </c>
      <c r="AQ237" s="2">
        <f>SQRT(Table4[[#This Row],[diffPrimary2]]^2+Table4[[#This Row],[diffSecondary2]]^2)</f>
        <v>661.13945348400216</v>
      </c>
      <c r="AR237" s="786">
        <f>MIN(Table4[[#This Row],[MinOrig]],Table4[[#This Row],[MinSwap]])</f>
        <v>425.55239377043807</v>
      </c>
      <c r="AS237" s="2">
        <v>33.523137998254299</v>
      </c>
      <c r="AX237" s="4"/>
    </row>
    <row r="238" spans="1:50" x14ac:dyDescent="0.25">
      <c r="A238" t="s">
        <v>114</v>
      </c>
      <c r="B238">
        <v>0</v>
      </c>
      <c r="C238">
        <v>58</v>
      </c>
      <c r="D238">
        <v>99</v>
      </c>
      <c r="E238" s="286"/>
      <c r="F238">
        <v>227</v>
      </c>
      <c r="G238">
        <v>24</v>
      </c>
      <c r="H238">
        <v>55</v>
      </c>
      <c r="I238" s="87"/>
      <c r="J238">
        <v>107</v>
      </c>
      <c r="K238">
        <v>129</v>
      </c>
      <c r="L238">
        <v>141</v>
      </c>
      <c r="M238" s="287"/>
      <c r="Q238" s="4"/>
      <c r="U238" s="4"/>
      <c r="Y238" s="4"/>
      <c r="Z238">
        <f t="shared" si="33"/>
        <v>0</v>
      </c>
      <c r="AA238">
        <f t="shared" si="34"/>
        <v>0</v>
      </c>
      <c r="AB238">
        <f t="shared" si="35"/>
        <v>127.5</v>
      </c>
      <c r="AC238" s="26"/>
      <c r="AD238">
        <f t="shared" si="36"/>
        <v>255</v>
      </c>
      <c r="AE238">
        <f t="shared" si="37"/>
        <v>0</v>
      </c>
      <c r="AF238">
        <f t="shared" si="38"/>
        <v>0</v>
      </c>
      <c r="AG238" s="5"/>
      <c r="AH238">
        <f t="shared" si="39"/>
        <v>127.5</v>
      </c>
      <c r="AI238">
        <f t="shared" si="40"/>
        <v>127.5</v>
      </c>
      <c r="AJ238">
        <f t="shared" si="41"/>
        <v>127.5</v>
      </c>
      <c r="AK238" s="32"/>
      <c r="AL238">
        <f>SQRT((2+(($AL$3+Table4[[#This Row],[Red]])/2)/256)*($AL$3-Table4[[#This Row],[Red]])^2 + 4*($AM$3-Table4[[#This Row],[Green]])^2 + (2+(255-(($AL$3+Table4[[#This Row],[Red]])/2))/256 )*($AN$3-Table4[[#This Row],[Blue]])^2)</f>
        <v>522.83348732531465</v>
      </c>
      <c r="AM238">
        <f>SQRT((2+(($AO$3+Table4[[#This Row],[Red2]])/2)/256)*($AO$3-Table4[[#This Row],[Red2]])^2 + 4*($AP$3-Table4[[#This Row],[Green2]])^2 + (2+(255-(($AO$3+Table4[[#This Row],[Red2]])/2))/256 )*($AQ$3-Table4[[#This Row],[Blue2]])^2)</f>
        <v>368.68670537293582</v>
      </c>
      <c r="AN238">
        <f>SQRT(Table4[[#This Row],[diffPrimary]]^2+Table4[[#This Row],[diffSecondary]]^2)</f>
        <v>639.75365742408997</v>
      </c>
      <c r="AO238" s="2">
        <f>SQRT((2+(($AL$3+Table4[[#This Row],[Red2]])/2)/256)*($AL$3-Table4[[#This Row],[Red2]])^2 + 4*($AM$3-Table4[[#This Row],[Green2]])^2 + (2+(255-(($AL$3+Table4[[#This Row],[Red2]])/2))/256 )*($AN$3-Table4[[#This Row],[Blue2]])^2)</f>
        <v>373.58465196993842</v>
      </c>
      <c r="AP238" s="2">
        <f>SQRT((2+(($AO$3+Table4[[#This Row],[Red]])/2)/256)*($AO$3-Table4[[#This Row],[Red]])^2 + 4*($AP$3-Table4[[#This Row],[Green]])^2 + (2+(255-(($AO$3+Table4[[#This Row],[Red]])/2))/256 )*($AQ$3-Table4[[#This Row],[Blue]])^2)</f>
        <v>206.9316670878336</v>
      </c>
      <c r="AQ238" s="2">
        <f>SQRT(Table4[[#This Row],[diffPrimary2]]^2+Table4[[#This Row],[diffSecondary2]]^2)</f>
        <v>427.06698190242946</v>
      </c>
      <c r="AR238" s="786">
        <f>MIN(Table4[[#This Row],[MinOrig]],Table4[[#This Row],[MinSwap]])</f>
        <v>427.06698190242946</v>
      </c>
      <c r="AS238" s="2">
        <v>58.450700380748202</v>
      </c>
      <c r="AX238" s="4"/>
    </row>
    <row r="239" spans="1:50" x14ac:dyDescent="0.25">
      <c r="A239" t="s">
        <v>109</v>
      </c>
      <c r="B239">
        <v>51</v>
      </c>
      <c r="C239">
        <v>0</v>
      </c>
      <c r="D239">
        <v>114</v>
      </c>
      <c r="E239" s="277"/>
      <c r="F239">
        <v>255</v>
      </c>
      <c r="G239">
        <v>255</v>
      </c>
      <c r="H239">
        <v>255</v>
      </c>
      <c r="I239" s="3"/>
      <c r="M239" s="4"/>
      <c r="Q239" s="4"/>
      <c r="U239" s="4"/>
      <c r="Y239" s="4"/>
      <c r="Z239">
        <f t="shared" si="33"/>
        <v>0</v>
      </c>
      <c r="AA239">
        <f t="shared" si="34"/>
        <v>0</v>
      </c>
      <c r="AB239">
        <f t="shared" si="35"/>
        <v>127.5</v>
      </c>
      <c r="AC239" s="26"/>
      <c r="AD239">
        <f t="shared" si="36"/>
        <v>255</v>
      </c>
      <c r="AE239">
        <f t="shared" si="37"/>
        <v>255</v>
      </c>
      <c r="AF239">
        <f t="shared" si="38"/>
        <v>255</v>
      </c>
      <c r="AG239" s="3"/>
      <c r="AH239">
        <f t="shared" si="39"/>
        <v>0</v>
      </c>
      <c r="AI239">
        <f t="shared" si="40"/>
        <v>0</v>
      </c>
      <c r="AJ239">
        <f t="shared" si="41"/>
        <v>0</v>
      </c>
      <c r="AK239" s="4"/>
      <c r="AL239">
        <f>SQRT((2+(($AL$3+Table4[[#This Row],[Red]])/2)/256)*($AL$3-Table4[[#This Row],[Red]])^2 + 4*($AM$3-Table4[[#This Row],[Green]])^2 + (2+(255-(($AL$3+Table4[[#This Row],[Red]])/2))/256 )*($AN$3-Table4[[#This Row],[Blue]])^2)</f>
        <v>554.4133442207177</v>
      </c>
      <c r="AM239">
        <f>SQRT((2+(($AO$3+Table4[[#This Row],[Red2]])/2)/256)*($AO$3-Table4[[#This Row],[Red2]])^2 + 4*($AP$3-Table4[[#This Row],[Green2]])^2 + (2+(255-(($AO$3+Table4[[#This Row],[Red2]])/2))/256 )*($AQ$3-Table4[[#This Row],[Blue2]])^2)</f>
        <v>764.83396635724148</v>
      </c>
      <c r="AN239">
        <f>SQRT(Table4[[#This Row],[diffPrimary]]^2+Table4[[#This Row],[diffSecondary]]^2)</f>
        <v>944.64022375915692</v>
      </c>
      <c r="AO239" s="2">
        <f>SQRT((2+(($AL$3+Table4[[#This Row],[Red2]])/2)/256)*($AL$3-Table4[[#This Row],[Red2]])^2 + 4*($AM$3-Table4[[#This Row],[Green2]])^2 + (2+(255-(($AL$3+Table4[[#This Row],[Red2]])/2))/256 )*($AN$3-Table4[[#This Row],[Blue2]])^2)</f>
        <v>374.23254802328461</v>
      </c>
      <c r="AP239" s="2">
        <f>SQRT((2+(($AO$3+Table4[[#This Row],[Red]])/2)/256)*($AO$3-Table4[[#This Row],[Red]])^2 + 4*($AP$3-Table4[[#This Row],[Green]])^2 + (2+(255-(($AO$3+Table4[[#This Row],[Red]])/2))/256 )*($AQ$3-Table4[[#This Row],[Blue]])^2)</f>
        <v>207.61453446682148</v>
      </c>
      <c r="AQ239" s="2">
        <f>SQRT(Table4[[#This Row],[diffPrimary2]]^2+Table4[[#This Row],[diffSecondary2]]^2)</f>
        <v>427.96471223907588</v>
      </c>
      <c r="AR239" s="786">
        <f>MIN(Table4[[#This Row],[MinOrig]],Table4[[#This Row],[MinSwap]])</f>
        <v>427.96471223907588</v>
      </c>
      <c r="AS239" s="2">
        <v>77.748279221311407</v>
      </c>
      <c r="AX239" s="4"/>
    </row>
    <row r="240" spans="1:50" x14ac:dyDescent="0.25">
      <c r="A240" t="s">
        <v>183</v>
      </c>
      <c r="B240">
        <v>204</v>
      </c>
      <c r="C240">
        <v>0</v>
      </c>
      <c r="D240">
        <v>0</v>
      </c>
      <c r="E240" s="109"/>
      <c r="F240">
        <v>0</v>
      </c>
      <c r="G240">
        <v>0</v>
      </c>
      <c r="H240">
        <v>51</v>
      </c>
      <c r="I240" s="319"/>
      <c r="J240">
        <v>204</v>
      </c>
      <c r="K240">
        <v>204</v>
      </c>
      <c r="L240">
        <v>204</v>
      </c>
      <c r="M240" s="130">
        <v>4</v>
      </c>
      <c r="N240">
        <v>255</v>
      </c>
      <c r="O240">
        <v>255</v>
      </c>
      <c r="P240">
        <v>255</v>
      </c>
      <c r="Q240" s="3"/>
      <c r="U240" s="4"/>
      <c r="Y240" s="4"/>
      <c r="Z240">
        <f t="shared" si="33"/>
        <v>255</v>
      </c>
      <c r="AA240">
        <f t="shared" si="34"/>
        <v>0</v>
      </c>
      <c r="AB240">
        <f t="shared" si="35"/>
        <v>0</v>
      </c>
      <c r="AC240" s="5"/>
      <c r="AD240">
        <f t="shared" si="36"/>
        <v>0</v>
      </c>
      <c r="AE240">
        <f t="shared" si="37"/>
        <v>0</v>
      </c>
      <c r="AF240">
        <f t="shared" si="38"/>
        <v>0</v>
      </c>
      <c r="AG240" s="4"/>
      <c r="AH240">
        <f t="shared" si="39"/>
        <v>255</v>
      </c>
      <c r="AI240">
        <f t="shared" si="40"/>
        <v>255</v>
      </c>
      <c r="AJ240">
        <f t="shared" si="41"/>
        <v>255</v>
      </c>
      <c r="AK240" s="3"/>
      <c r="AL240">
        <f>SQRT((2+(($AL$3+Table4[[#This Row],[Red]])/2)/256)*($AL$3-Table4[[#This Row],[Red]])^2 + 4*($AM$3-Table4[[#This Row],[Green]])^2 + (2+(255-(($AL$3+Table4[[#This Row],[Red]])/2))/256 )*($AN$3-Table4[[#This Row],[Blue]])^2)</f>
        <v>419.08681184138328</v>
      </c>
      <c r="AM240">
        <f>SQRT((2+(($AO$3+Table4[[#This Row],[Red2]])/2)/256)*($AO$3-Table4[[#This Row],[Red2]])^2 + 4*($AP$3-Table4[[#This Row],[Green2]])^2 + (2+(255-(($AO$3+Table4[[#This Row],[Red2]])/2))/256 )*($AQ$3-Table4[[#This Row],[Blue2]])^2)</f>
        <v>88.277062953804716</v>
      </c>
      <c r="AN240">
        <f>SQRT(Table4[[#This Row],[diffPrimary]]^2+Table4[[#This Row],[diffSecondary]]^2)</f>
        <v>428.28331242662841</v>
      </c>
      <c r="AO240" s="2">
        <f>SQRT((2+(($AL$3+Table4[[#This Row],[Red2]])/2)/256)*($AL$3-Table4[[#This Row],[Red2]])^2 + 4*($AM$3-Table4[[#This Row],[Green2]])^2 + (2+(255-(($AL$3+Table4[[#This Row],[Red2]])/2))/256 )*($AN$3-Table4[[#This Row],[Blue2]])^2)</f>
        <v>580.5453625417656</v>
      </c>
      <c r="AP240" s="2">
        <f>SQRT((2+(($AO$3+Table4[[#This Row],[Red]])/2)/256)*($AO$3-Table4[[#This Row],[Red]])^2 + 4*($AP$3-Table4[[#This Row],[Green]])^2 + (2+(255-(($AO$3+Table4[[#This Row],[Red]])/2))/256 )*($AQ$3-Table4[[#This Row],[Blue]])^2)</f>
        <v>315.93254818077861</v>
      </c>
      <c r="AQ240" s="2">
        <f>SQRT(Table4[[#This Row],[diffPrimary2]]^2+Table4[[#This Row],[diffSecondary2]]^2)</f>
        <v>660.9434869705201</v>
      </c>
      <c r="AR240" s="786">
        <f>MIN(Table4[[#This Row],[MinOrig]],Table4[[#This Row],[MinSwap]])</f>
        <v>428.28331242662841</v>
      </c>
      <c r="AS240" s="2">
        <v>88.277062953804702</v>
      </c>
      <c r="AX240" s="4"/>
    </row>
    <row r="241" spans="1:50" x14ac:dyDescent="0.25">
      <c r="A241" t="s">
        <v>74</v>
      </c>
      <c r="B241">
        <v>4</v>
      </c>
      <c r="C241">
        <v>30</v>
      </c>
      <c r="D241">
        <v>66</v>
      </c>
      <c r="E241" s="69"/>
      <c r="F241">
        <v>186</v>
      </c>
      <c r="G241">
        <v>12</v>
      </c>
      <c r="H241">
        <v>47</v>
      </c>
      <c r="I241" s="94"/>
      <c r="J241">
        <v>0</v>
      </c>
      <c r="K241">
        <v>0</v>
      </c>
      <c r="L241">
        <v>0</v>
      </c>
      <c r="M241" s="4"/>
      <c r="Q241" s="4"/>
      <c r="U241" s="4"/>
      <c r="Y241" s="4"/>
      <c r="Z241">
        <f t="shared" si="33"/>
        <v>0</v>
      </c>
      <c r="AA241">
        <f t="shared" si="34"/>
        <v>0</v>
      </c>
      <c r="AB241">
        <f t="shared" si="35"/>
        <v>127.5</v>
      </c>
      <c r="AC241" s="26"/>
      <c r="AD241">
        <f t="shared" si="36"/>
        <v>127.5</v>
      </c>
      <c r="AE241">
        <f t="shared" si="37"/>
        <v>0</v>
      </c>
      <c r="AF241">
        <f t="shared" si="38"/>
        <v>0</v>
      </c>
      <c r="AG241" s="27"/>
      <c r="AH241">
        <f t="shared" si="39"/>
        <v>0</v>
      </c>
      <c r="AI241">
        <f t="shared" si="40"/>
        <v>0</v>
      </c>
      <c r="AJ241">
        <f t="shared" si="41"/>
        <v>0</v>
      </c>
      <c r="AK241" s="4"/>
      <c r="AL241">
        <f>SQRT((2+(($AL$3+Table4[[#This Row],[Red]])/2)/256)*($AL$3-Table4[[#This Row],[Red]])^2 + 4*($AM$3-Table4[[#This Row],[Green]])^2 + (2+(255-(($AL$3+Table4[[#This Row],[Red]])/2))/256 )*($AN$3-Table4[[#This Row],[Blue]])^2)</f>
        <v>539.64720644313081</v>
      </c>
      <c r="AM241">
        <f>SQRT((2+(($AO$3+Table4[[#This Row],[Red2]])/2)/256)*($AO$3-Table4[[#This Row],[Red2]])^2 + 4*($AP$3-Table4[[#This Row],[Green2]])^2 + (2+(255-(($AO$3+Table4[[#This Row],[Red2]])/2))/256 )*($AQ$3-Table4[[#This Row],[Blue2]])^2)</f>
        <v>296.90395911388583</v>
      </c>
      <c r="AN241">
        <f>SQRT(Table4[[#This Row],[diffPrimary]]^2+Table4[[#This Row],[diffSecondary]]^2)</f>
        <v>615.93105812207182</v>
      </c>
      <c r="AO241" s="2">
        <f>SQRT((2+(($AL$3+Table4[[#This Row],[Red2]])/2)/256)*($AL$3-Table4[[#This Row],[Red2]])^2 + 4*($AM$3-Table4[[#This Row],[Green2]])^2 + (2+(255-(($AL$3+Table4[[#This Row],[Red2]])/2))/256 )*($AN$3-Table4[[#This Row],[Blue2]])^2)</f>
        <v>409.06537432145245</v>
      </c>
      <c r="AP241" s="2">
        <f>SQRT((2+(($AO$3+Table4[[#This Row],[Red]])/2)/256)*($AO$3-Table4[[#This Row],[Red]])^2 + 4*($AP$3-Table4[[#This Row],[Green]])^2 + (2+(255-(($AO$3+Table4[[#This Row],[Red]])/2))/256 )*($AQ$3-Table4[[#This Row],[Blue]])^2)</f>
        <v>129.03130676312628</v>
      </c>
      <c r="AQ241" s="2">
        <f>SQRT(Table4[[#This Row],[diffPrimary2]]^2+Table4[[#This Row],[diffSecondary2]]^2)</f>
        <v>428.93304674943153</v>
      </c>
      <c r="AR241" s="786">
        <f>MIN(Table4[[#This Row],[MinOrig]],Table4[[#This Row],[MinSwap]])</f>
        <v>428.93304674943153</v>
      </c>
      <c r="AS241" s="2">
        <v>24.617225930230202</v>
      </c>
      <c r="AX241" s="4"/>
    </row>
    <row r="242" spans="1:50" x14ac:dyDescent="0.25">
      <c r="A242" t="s">
        <v>315</v>
      </c>
      <c r="B242">
        <v>78</v>
      </c>
      <c r="C242">
        <v>41</v>
      </c>
      <c r="D242">
        <v>19</v>
      </c>
      <c r="E242" s="611"/>
      <c r="F242">
        <v>97</v>
      </c>
      <c r="G242">
        <v>51</v>
      </c>
      <c r="H242">
        <v>24</v>
      </c>
      <c r="I242" s="612"/>
      <c r="J242">
        <v>255</v>
      </c>
      <c r="K242">
        <v>204</v>
      </c>
      <c r="L242">
        <v>0</v>
      </c>
      <c r="M242" s="80"/>
      <c r="N242">
        <v>255</v>
      </c>
      <c r="O242">
        <v>255</v>
      </c>
      <c r="P242">
        <v>255</v>
      </c>
      <c r="Q242" s="3"/>
      <c r="U242" s="4"/>
      <c r="Y242" s="4"/>
      <c r="Z242">
        <f t="shared" si="33"/>
        <v>127.5</v>
      </c>
      <c r="AA242">
        <f t="shared" si="34"/>
        <v>0</v>
      </c>
      <c r="AB242">
        <f t="shared" si="35"/>
        <v>0</v>
      </c>
      <c r="AC242" s="27"/>
      <c r="AD242">
        <f t="shared" si="36"/>
        <v>127.5</v>
      </c>
      <c r="AE242">
        <f t="shared" si="37"/>
        <v>0</v>
      </c>
      <c r="AF242">
        <f t="shared" si="38"/>
        <v>0</v>
      </c>
      <c r="AG242" s="27"/>
      <c r="AH242">
        <f t="shared" si="39"/>
        <v>255</v>
      </c>
      <c r="AI242">
        <f t="shared" si="40"/>
        <v>255</v>
      </c>
      <c r="AJ242">
        <f t="shared" si="41"/>
        <v>0</v>
      </c>
      <c r="AK242" s="9"/>
      <c r="AL242">
        <f>SQRT((2+(($AL$3+Table4[[#This Row],[Red]])/2)/256)*($AL$3-Table4[[#This Row],[Red]])^2 + 4*($AM$3-Table4[[#This Row],[Green]])^2 + (2+(255-(($AL$3+Table4[[#This Row],[Red]])/2))/256 )*($AN$3-Table4[[#This Row],[Blue]])^2)</f>
        <v>437.56700826130617</v>
      </c>
      <c r="AM242">
        <f>SQRT((2+(($AO$3+Table4[[#This Row],[Red2]])/2)/256)*($AO$3-Table4[[#This Row],[Red2]])^2 + 4*($AP$3-Table4[[#This Row],[Green2]])^2 + (2+(255-(($AO$3+Table4[[#This Row],[Red2]])/2))/256 )*($AQ$3-Table4[[#This Row],[Blue2]])^2)</f>
        <v>180.61337008406935</v>
      </c>
      <c r="AN242">
        <f>SQRT(Table4[[#This Row],[diffPrimary]]^2+Table4[[#This Row],[diffSecondary]]^2)</f>
        <v>473.37730846743699</v>
      </c>
      <c r="AO242" s="2">
        <f>SQRT((2+(($AL$3+Table4[[#This Row],[Red2]])/2)/256)*($AL$3-Table4[[#This Row],[Red2]])^2 + 4*($AM$3-Table4[[#This Row],[Green2]])^2 + (2+(255-(($AL$3+Table4[[#This Row],[Red2]])/2))/256 )*($AN$3-Table4[[#This Row],[Blue2]])^2)</f>
        <v>404.08476833456615</v>
      </c>
      <c r="AP242" s="2">
        <f>SQRT((2+(($AO$3+Table4[[#This Row],[Red]])/2)/256)*($AO$3-Table4[[#This Row],[Red]])^2 + 4*($AP$3-Table4[[#This Row],[Green]])^2 + (2+(255-(($AO$3+Table4[[#This Row],[Red]])/2))/256 )*($AQ$3-Table4[[#This Row],[Blue]])^2)</f>
        <v>144.37954538299391</v>
      </c>
      <c r="AQ242" s="2">
        <f>SQRT(Table4[[#This Row],[diffPrimary2]]^2+Table4[[#This Row],[diffSecondary2]]^2)</f>
        <v>429.10366244650021</v>
      </c>
      <c r="AR242" s="786">
        <f>MIN(Table4[[#This Row],[MinOrig]],Table4[[#This Row],[MinSwap]])</f>
        <v>429.10366244650021</v>
      </c>
      <c r="AS242" s="2">
        <v>72.639063827599003</v>
      </c>
      <c r="AX242" s="4"/>
    </row>
    <row r="243" spans="1:50" x14ac:dyDescent="0.25">
      <c r="A243" t="s">
        <v>21</v>
      </c>
      <c r="B243">
        <v>200</v>
      </c>
      <c r="C243">
        <v>16</v>
      </c>
      <c r="D243">
        <v>46</v>
      </c>
      <c r="E243" s="97"/>
      <c r="F243">
        <v>0</v>
      </c>
      <c r="G243">
        <v>32</v>
      </c>
      <c r="H243">
        <v>91</v>
      </c>
      <c r="I243" s="98"/>
      <c r="J243">
        <v>255</v>
      </c>
      <c r="K243">
        <v>255</v>
      </c>
      <c r="L243">
        <v>255</v>
      </c>
      <c r="M243" s="3"/>
      <c r="Q243" s="4"/>
      <c r="U243" s="4"/>
      <c r="Y243" s="4"/>
      <c r="Z243">
        <f t="shared" si="33"/>
        <v>255</v>
      </c>
      <c r="AA243">
        <f t="shared" si="34"/>
        <v>0</v>
      </c>
      <c r="AB243">
        <f t="shared" si="35"/>
        <v>0</v>
      </c>
      <c r="AC243" s="5"/>
      <c r="AD243">
        <f t="shared" si="36"/>
        <v>0</v>
      </c>
      <c r="AE243">
        <f t="shared" si="37"/>
        <v>0</v>
      </c>
      <c r="AF243">
        <f t="shared" si="38"/>
        <v>127.5</v>
      </c>
      <c r="AG243" s="26"/>
      <c r="AH243">
        <f t="shared" si="39"/>
        <v>255</v>
      </c>
      <c r="AI243">
        <f t="shared" si="40"/>
        <v>255</v>
      </c>
      <c r="AJ243">
        <f t="shared" si="41"/>
        <v>255</v>
      </c>
      <c r="AK243" s="3"/>
      <c r="AL243">
        <f>SQRT((2+(($AL$3+Table4[[#This Row],[Red]])/2)/256)*($AL$3-Table4[[#This Row],[Red]])^2 + 4*($AM$3-Table4[[#This Row],[Green]])^2 + (2+(255-(($AL$3+Table4[[#This Row],[Red]])/2))/256 )*($AN$3-Table4[[#This Row],[Blue]])^2)</f>
        <v>395.07155947926066</v>
      </c>
      <c r="AM243">
        <f>SQRT((2+(($AO$3+Table4[[#This Row],[Red2]])/2)/256)*($AO$3-Table4[[#This Row],[Red2]])^2 + 4*($AP$3-Table4[[#This Row],[Green2]])^2 + (2+(255-(($AO$3+Table4[[#This Row],[Red2]])/2))/256 )*($AQ$3-Table4[[#This Row],[Blue2]])^2)</f>
        <v>170.01956459110815</v>
      </c>
      <c r="AN243">
        <f>SQRT(Table4[[#This Row],[diffPrimary]]^2+Table4[[#This Row],[diffSecondary]]^2)</f>
        <v>430.10253365113419</v>
      </c>
      <c r="AO243" s="2">
        <f>SQRT((2+(($AL$3+Table4[[#This Row],[Red2]])/2)/256)*($AL$3-Table4[[#This Row],[Red2]])^2 + 4*($AM$3-Table4[[#This Row],[Green2]])^2 + (2+(255-(($AL$3+Table4[[#This Row],[Red2]])/2))/256 )*($AN$3-Table4[[#This Row],[Blue2]])^2)</f>
        <v>550.3070272300273</v>
      </c>
      <c r="AP243" s="2">
        <f>SQRT((2+(($AO$3+Table4[[#This Row],[Red]])/2)/256)*($AO$3-Table4[[#This Row],[Red]])^2 + 4*($AP$3-Table4[[#This Row],[Green]])^2 + (2+(255-(($AO$3+Table4[[#This Row],[Red]])/2))/256 )*($AQ$3-Table4[[#This Row],[Blue]])^2)</f>
        <v>319.62817753602388</v>
      </c>
      <c r="AQ243" s="2">
        <f>SQRT(Table4[[#This Row],[diffPrimary2]]^2+Table4[[#This Row],[diffSecondary2]]^2)</f>
        <v>636.39609999885295</v>
      </c>
      <c r="AR243" s="786">
        <f>MIN(Table4[[#This Row],[MinOrig]],Table4[[#This Row],[MinSwap]])</f>
        <v>430.10253365113419</v>
      </c>
      <c r="AS243" s="2">
        <v>28.8332693580697</v>
      </c>
      <c r="AX243" s="4"/>
    </row>
    <row r="244" spans="1:50" x14ac:dyDescent="0.25">
      <c r="A244" t="s">
        <v>341</v>
      </c>
      <c r="B244">
        <v>0</v>
      </c>
      <c r="C244">
        <v>53</v>
      </c>
      <c r="D244">
        <v>107</v>
      </c>
      <c r="E244" s="629"/>
      <c r="F244">
        <v>255</v>
      </c>
      <c r="G244">
        <v>255</v>
      </c>
      <c r="H244">
        <v>255</v>
      </c>
      <c r="I244" s="3"/>
      <c r="M244" s="4"/>
      <c r="Q244" s="4"/>
      <c r="U244" s="4"/>
      <c r="Y244" s="4"/>
      <c r="Z244">
        <f t="shared" si="33"/>
        <v>0</v>
      </c>
      <c r="AA244">
        <f t="shared" si="34"/>
        <v>0</v>
      </c>
      <c r="AB244">
        <f t="shared" si="35"/>
        <v>127.5</v>
      </c>
      <c r="AC244" s="26"/>
      <c r="AD244">
        <f t="shared" si="36"/>
        <v>255</v>
      </c>
      <c r="AE244">
        <f t="shared" si="37"/>
        <v>255</v>
      </c>
      <c r="AF244">
        <f t="shared" si="38"/>
        <v>255</v>
      </c>
      <c r="AG244" s="3"/>
      <c r="AH244">
        <f t="shared" si="39"/>
        <v>0</v>
      </c>
      <c r="AI244">
        <f t="shared" si="40"/>
        <v>0</v>
      </c>
      <c r="AJ244">
        <f t="shared" si="41"/>
        <v>0</v>
      </c>
      <c r="AK244" s="4"/>
      <c r="AL244">
        <f>SQRT((2+(($AL$3+Table4[[#This Row],[Red]])/2)/256)*($AL$3-Table4[[#This Row],[Red]])^2 + 4*($AM$3-Table4[[#This Row],[Green]])^2 + (2+(255-(($AL$3+Table4[[#This Row],[Red]])/2))/256 )*($AN$3-Table4[[#This Row],[Blue]])^2)</f>
        <v>532.4017625053001</v>
      </c>
      <c r="AM244">
        <f>SQRT((2+(($AO$3+Table4[[#This Row],[Red2]])/2)/256)*($AO$3-Table4[[#This Row],[Red2]])^2 + 4*($AP$3-Table4[[#This Row],[Green2]])^2 + (2+(255-(($AO$3+Table4[[#This Row],[Red2]])/2))/256 )*($AQ$3-Table4[[#This Row],[Blue2]])^2)</f>
        <v>764.83396635724148</v>
      </c>
      <c r="AN244">
        <f>SQRT(Table4[[#This Row],[diffPrimary]]^2+Table4[[#This Row],[diffSecondary]]^2)</f>
        <v>931.89196413130423</v>
      </c>
      <c r="AO244" s="2">
        <f>SQRT((2+(($AL$3+Table4[[#This Row],[Red2]])/2)/256)*($AL$3-Table4[[#This Row],[Red2]])^2 + 4*($AM$3-Table4[[#This Row],[Green2]])^2 + (2+(255-(($AL$3+Table4[[#This Row],[Red2]])/2))/256 )*($AN$3-Table4[[#This Row],[Blue2]])^2)</f>
        <v>374.23254802328461</v>
      </c>
      <c r="AP244" s="2">
        <f>SQRT((2+(($AO$3+Table4[[#This Row],[Red]])/2)/256)*($AO$3-Table4[[#This Row],[Red]])^2 + 4*($AP$3-Table4[[#This Row],[Green]])^2 + (2+(255-(($AO$3+Table4[[#This Row],[Red]])/2))/256 )*($AQ$3-Table4[[#This Row],[Blue]])^2)</f>
        <v>213.39699469240423</v>
      </c>
      <c r="AQ244" s="2">
        <f>SQRT(Table4[[#This Row],[diffPrimary2]]^2+Table4[[#This Row],[diffSecondary2]]^2)</f>
        <v>430.79957908956925</v>
      </c>
      <c r="AR244" s="786">
        <f>MIN(Table4[[#This Row],[MinOrig]],Table4[[#This Row],[MinSwap]])</f>
        <v>430.79957908956925</v>
      </c>
      <c r="AS244" s="2">
        <v>27.986324785509101</v>
      </c>
      <c r="AX244" s="4"/>
    </row>
    <row r="245" spans="1:50" x14ac:dyDescent="0.25">
      <c r="A245" t="s">
        <v>303</v>
      </c>
      <c r="B245">
        <v>255</v>
      </c>
      <c r="C245">
        <v>202</v>
      </c>
      <c r="D245">
        <v>6</v>
      </c>
      <c r="E245" s="595"/>
      <c r="F245">
        <v>186</v>
      </c>
      <c r="G245">
        <v>155</v>
      </c>
      <c r="H245">
        <v>55</v>
      </c>
      <c r="I245" s="596"/>
      <c r="J245">
        <v>0</v>
      </c>
      <c r="K245">
        <v>0</v>
      </c>
      <c r="L245">
        <v>0</v>
      </c>
      <c r="M245" s="4"/>
      <c r="Q245" s="4"/>
      <c r="U245" s="4"/>
      <c r="Y245" s="4"/>
      <c r="Z245">
        <f t="shared" si="33"/>
        <v>255</v>
      </c>
      <c r="AA245">
        <f t="shared" si="34"/>
        <v>255</v>
      </c>
      <c r="AB245">
        <f t="shared" si="35"/>
        <v>0</v>
      </c>
      <c r="AC245" s="9"/>
      <c r="AD245">
        <f t="shared" si="36"/>
        <v>127.5</v>
      </c>
      <c r="AE245">
        <f t="shared" si="37"/>
        <v>127.5</v>
      </c>
      <c r="AF245">
        <f t="shared" si="38"/>
        <v>0</v>
      </c>
      <c r="AG245" s="33"/>
      <c r="AH245">
        <f t="shared" si="39"/>
        <v>0</v>
      </c>
      <c r="AI245">
        <f t="shared" si="40"/>
        <v>0</v>
      </c>
      <c r="AJ245">
        <f t="shared" si="41"/>
        <v>0</v>
      </c>
      <c r="AK245" s="4"/>
      <c r="AL245">
        <f>SQRT((2+(($AL$3+Table4[[#This Row],[Red]])/2)/256)*($AL$3-Table4[[#This Row],[Red]])^2 + 4*($AM$3-Table4[[#This Row],[Green]])^2 + (2+(255-(($AL$3+Table4[[#This Row],[Red]])/2))/256 )*($AN$3-Table4[[#This Row],[Blue]])^2)</f>
        <v>10.392304845413264</v>
      </c>
      <c r="AM245">
        <f>SQRT((2+(($AO$3+Table4[[#This Row],[Red2]])/2)/256)*($AO$3-Table4[[#This Row],[Red2]])^2 + 4*($AP$3-Table4[[#This Row],[Green2]])^2 + (2+(255-(($AO$3+Table4[[#This Row],[Red2]])/2))/256 )*($AQ$3-Table4[[#This Row],[Blue2]])^2)</f>
        <v>431.07346930366754</v>
      </c>
      <c r="AN245">
        <f>SQRT(Table4[[#This Row],[diffPrimary]]^2+Table4[[#This Row],[diffSecondary]]^2)</f>
        <v>431.19871977720436</v>
      </c>
      <c r="AO245" s="2">
        <f>SQRT((2+(($AL$3+Table4[[#This Row],[Red2]])/2)/256)*($AL$3-Table4[[#This Row],[Red2]])^2 + 4*($AM$3-Table4[[#This Row],[Green2]])^2 + (2+(255-(($AL$3+Table4[[#This Row],[Red2]])/2))/256 )*($AN$3-Table4[[#This Row],[Blue2]])^2)</f>
        <v>173.43716216183313</v>
      </c>
      <c r="AP245" s="2">
        <f>SQRT((2+(($AO$3+Table4[[#This Row],[Red]])/2)/256)*($AO$3-Table4[[#This Row],[Red]])^2 + 4*($AP$3-Table4[[#This Row],[Green]])^2 + (2+(255-(($AO$3+Table4[[#This Row],[Red]])/2))/256 )*($AQ$3-Table4[[#This Row],[Blue]])^2)</f>
        <v>570.73761724138615</v>
      </c>
      <c r="AQ245" s="2">
        <f>SQRT(Table4[[#This Row],[diffPrimary2]]^2+Table4[[#This Row],[diffSecondary2]]^2)</f>
        <v>596.50806947863248</v>
      </c>
      <c r="AR245" s="786">
        <f>MIN(Table4[[#This Row],[MinOrig]],Table4[[#This Row],[MinSwap]])</f>
        <v>431.19871977720436</v>
      </c>
      <c r="AS245" s="2">
        <v>84.230501267355606</v>
      </c>
      <c r="AX245" s="4"/>
    </row>
    <row r="246" spans="1:50" x14ac:dyDescent="0.25">
      <c r="A246" t="s">
        <v>237</v>
      </c>
      <c r="B246">
        <v>152</v>
      </c>
      <c r="C246">
        <v>30</v>
      </c>
      <c r="D246">
        <v>50</v>
      </c>
      <c r="E246" s="459"/>
      <c r="F246">
        <v>108</v>
      </c>
      <c r="G246">
        <v>111</v>
      </c>
      <c r="H246">
        <v>112</v>
      </c>
      <c r="I246" s="460"/>
      <c r="J246">
        <v>255</v>
      </c>
      <c r="K246">
        <v>255</v>
      </c>
      <c r="L246">
        <v>255</v>
      </c>
      <c r="M246" s="3"/>
      <c r="Q246" s="4"/>
      <c r="U246" s="4"/>
      <c r="Y246" s="4"/>
      <c r="Z246">
        <f t="shared" si="33"/>
        <v>127.5</v>
      </c>
      <c r="AA246">
        <f t="shared" si="34"/>
        <v>0</v>
      </c>
      <c r="AB246">
        <f t="shared" si="35"/>
        <v>0</v>
      </c>
      <c r="AC246" s="27"/>
      <c r="AD246">
        <f t="shared" si="36"/>
        <v>127.5</v>
      </c>
      <c r="AE246">
        <f t="shared" si="37"/>
        <v>127.5</v>
      </c>
      <c r="AF246">
        <f t="shared" si="38"/>
        <v>127.5</v>
      </c>
      <c r="AG246" s="32"/>
      <c r="AH246">
        <f t="shared" si="39"/>
        <v>255</v>
      </c>
      <c r="AI246">
        <f t="shared" si="40"/>
        <v>255</v>
      </c>
      <c r="AJ246">
        <f t="shared" si="41"/>
        <v>255</v>
      </c>
      <c r="AK246" s="3"/>
      <c r="AL246">
        <f>SQRT((2+(($AL$3+Table4[[#This Row],[Red]])/2)/256)*($AL$3-Table4[[#This Row],[Red]])^2 + 4*($AM$3-Table4[[#This Row],[Green]])^2 + (2+(255-(($AL$3+Table4[[#This Row],[Red]])/2))/256 )*($AN$3-Table4[[#This Row],[Blue]])^2)</f>
        <v>397.05699321303359</v>
      </c>
      <c r="AM246">
        <f>SQRT((2+(($AO$3+Table4[[#This Row],[Red2]])/2)/256)*($AO$3-Table4[[#This Row],[Red2]])^2 + 4*($AP$3-Table4[[#This Row],[Green2]])^2 + (2+(255-(($AO$3+Table4[[#This Row],[Red2]])/2))/256 )*($AQ$3-Table4[[#This Row],[Blue2]])^2)</f>
        <v>331.67661207869332</v>
      </c>
      <c r="AN246">
        <f>SQRT(Table4[[#This Row],[diffPrimary]]^2+Table4[[#This Row],[diffSecondary]]^2)</f>
        <v>517.36218537826574</v>
      </c>
      <c r="AO246" s="2">
        <f>SQRT((2+(($AL$3+Table4[[#This Row],[Red2]])/2)/256)*($AL$3-Table4[[#This Row],[Red2]])^2 + 4*($AM$3-Table4[[#This Row],[Green2]])^2 + (2+(255-(($AL$3+Table4[[#This Row],[Red2]])/2))/256 )*($AN$3-Table4[[#This Row],[Blue2]])^2)</f>
        <v>350.10276114217521</v>
      </c>
      <c r="AP246" s="2">
        <f>SQRT((2+(($AO$3+Table4[[#This Row],[Red]])/2)/256)*($AO$3-Table4[[#This Row],[Red]])^2 + 4*($AP$3-Table4[[#This Row],[Green]])^2 + (2+(255-(($AO$3+Table4[[#This Row],[Red]])/2))/256 )*($AQ$3-Table4[[#This Row],[Blue]])^2)</f>
        <v>251.82344385501523</v>
      </c>
      <c r="AQ246" s="2">
        <f>SQRT(Table4[[#This Row],[diffPrimary2]]^2+Table4[[#This Row],[diffSecondary2]]^2)</f>
        <v>431.26208995734254</v>
      </c>
      <c r="AR246" s="786">
        <f>MIN(Table4[[#This Row],[MinOrig]],Table4[[#This Row],[MinSwap]])</f>
        <v>431.26208995734254</v>
      </c>
      <c r="AS246" s="2">
        <v>23.9150514843686</v>
      </c>
      <c r="AX246" s="4"/>
    </row>
    <row r="247" spans="1:50" x14ac:dyDescent="0.25">
      <c r="A247" t="s">
        <v>206</v>
      </c>
      <c r="B247">
        <v>186</v>
      </c>
      <c r="C247">
        <v>12</v>
      </c>
      <c r="D247">
        <v>47</v>
      </c>
      <c r="E247" s="94"/>
      <c r="F247">
        <v>138</v>
      </c>
      <c r="G247">
        <v>141</v>
      </c>
      <c r="H247">
        <v>143</v>
      </c>
      <c r="I247" s="66"/>
      <c r="J247">
        <v>0</v>
      </c>
      <c r="K247">
        <v>0</v>
      </c>
      <c r="L247">
        <v>0</v>
      </c>
      <c r="M247" s="4"/>
      <c r="Q247" s="4"/>
      <c r="U247" s="4"/>
      <c r="Y247" s="4"/>
      <c r="Z247">
        <f t="shared" si="33"/>
        <v>127.5</v>
      </c>
      <c r="AA247">
        <f t="shared" si="34"/>
        <v>0</v>
      </c>
      <c r="AB247">
        <f t="shared" si="35"/>
        <v>0</v>
      </c>
      <c r="AC247" s="27"/>
      <c r="AD247">
        <f t="shared" si="36"/>
        <v>127.5</v>
      </c>
      <c r="AE247">
        <f t="shared" si="37"/>
        <v>127.5</v>
      </c>
      <c r="AF247">
        <f t="shared" si="38"/>
        <v>127.5</v>
      </c>
      <c r="AG247" s="32"/>
      <c r="AH247">
        <f t="shared" si="39"/>
        <v>0</v>
      </c>
      <c r="AI247">
        <f t="shared" si="40"/>
        <v>0</v>
      </c>
      <c r="AJ247">
        <f t="shared" si="41"/>
        <v>0</v>
      </c>
      <c r="AK247" s="4"/>
      <c r="AL247">
        <f>SQRT((2+(($AL$3+Table4[[#This Row],[Red]])/2)/256)*($AL$3-Table4[[#This Row],[Red]])^2 + 4*($AM$3-Table4[[#This Row],[Green]])^2 + (2+(255-(($AL$3+Table4[[#This Row],[Red]])/2))/256 )*($AN$3-Table4[[#This Row],[Blue]])^2)</f>
        <v>409.06537432145245</v>
      </c>
      <c r="AM247">
        <f>SQRT((2+(($AO$3+Table4[[#This Row],[Red2]])/2)/256)*($AO$3-Table4[[#This Row],[Red2]])^2 + 4*($AP$3-Table4[[#This Row],[Green2]])^2 + (2+(255-(($AO$3+Table4[[#This Row],[Red2]])/2))/256 )*($AQ$3-Table4[[#This Row],[Blue2]])^2)</f>
        <v>422.49311200006565</v>
      </c>
      <c r="AN247">
        <f>SQRT(Table4[[#This Row],[diffPrimary]]^2+Table4[[#This Row],[diffSecondary]]^2)</f>
        <v>588.07729947367466</v>
      </c>
      <c r="AO247" s="2">
        <f>SQRT((2+(($AL$3+Table4[[#This Row],[Red2]])/2)/256)*($AL$3-Table4[[#This Row],[Red2]])^2 + 4*($AM$3-Table4[[#This Row],[Green2]])^2 + (2+(255-(($AL$3+Table4[[#This Row],[Red2]])/2))/256 )*($AN$3-Table4[[#This Row],[Blue2]])^2)</f>
        <v>315.97514612505523</v>
      </c>
      <c r="AP247" s="2">
        <f>SQRT((2+(($AO$3+Table4[[#This Row],[Red]])/2)/256)*($AO$3-Table4[[#This Row],[Red]])^2 + 4*($AP$3-Table4[[#This Row],[Green]])^2 + (2+(255-(($AO$3+Table4[[#This Row],[Red]])/2))/256 )*($AQ$3-Table4[[#This Row],[Blue]])^2)</f>
        <v>296.90395911388583</v>
      </c>
      <c r="AQ247" s="2">
        <f>SQRT(Table4[[#This Row],[diffPrimary2]]^2+Table4[[#This Row],[diffSecondary2]]^2)</f>
        <v>433.58073516503242</v>
      </c>
      <c r="AR247" s="786">
        <f>MIN(Table4[[#This Row],[MinOrig]],Table4[[#This Row],[MinSwap]])</f>
        <v>433.58073516503242</v>
      </c>
      <c r="AS247" s="2">
        <v>53.072326828583698</v>
      </c>
      <c r="AX247" s="4"/>
    </row>
    <row r="248" spans="1:50" x14ac:dyDescent="0.25">
      <c r="A248" t="s">
        <v>252</v>
      </c>
      <c r="B248">
        <v>170</v>
      </c>
      <c r="C248">
        <v>0</v>
      </c>
      <c r="D248">
        <v>0</v>
      </c>
      <c r="E248" s="38"/>
      <c r="F248">
        <v>0</v>
      </c>
      <c r="G248">
        <v>0</v>
      </c>
      <c r="H248">
        <v>0</v>
      </c>
      <c r="I248" s="4"/>
      <c r="M248" s="4"/>
      <c r="Q248" s="4"/>
      <c r="U248" s="4"/>
      <c r="Y248" s="4"/>
      <c r="Z248">
        <f t="shared" si="33"/>
        <v>127.5</v>
      </c>
      <c r="AA248">
        <f t="shared" si="34"/>
        <v>0</v>
      </c>
      <c r="AB248">
        <f t="shared" si="35"/>
        <v>0</v>
      </c>
      <c r="AC248" s="27"/>
      <c r="AD248">
        <f t="shared" si="36"/>
        <v>0</v>
      </c>
      <c r="AE248">
        <f t="shared" si="37"/>
        <v>0</v>
      </c>
      <c r="AF248">
        <f t="shared" si="38"/>
        <v>0</v>
      </c>
      <c r="AG248" s="4"/>
      <c r="AH248">
        <f t="shared" si="39"/>
        <v>0</v>
      </c>
      <c r="AI248">
        <f t="shared" si="40"/>
        <v>0</v>
      </c>
      <c r="AJ248">
        <f t="shared" si="41"/>
        <v>0</v>
      </c>
      <c r="AK248" s="4"/>
      <c r="AL248">
        <f>SQRT((2+(($AL$3+Table4[[#This Row],[Red]])/2)/256)*($AL$3-Table4[[#This Row],[Red]])^2 + 4*($AM$3-Table4[[#This Row],[Green]])^2 + (2+(255-(($AL$3+Table4[[#This Row],[Red]])/2))/256 )*($AN$3-Table4[[#This Row],[Blue]])^2)</f>
        <v>434.22035241697847</v>
      </c>
      <c r="AM248">
        <f>SQRT((2+(($AO$3+Table4[[#This Row],[Red2]])/2)/256)*($AO$3-Table4[[#This Row],[Red2]])^2 + 4*($AP$3-Table4[[#This Row],[Green2]])^2 + (2+(255-(($AO$3+Table4[[#This Row],[Red2]])/2))/256 )*($AQ$3-Table4[[#This Row],[Blue2]])^2)</f>
        <v>0</v>
      </c>
      <c r="AN248">
        <f>SQRT(Table4[[#This Row],[diffPrimary]]^2+Table4[[#This Row],[diffSecondary]]^2)</f>
        <v>434.22035241697847</v>
      </c>
      <c r="AO248" s="2">
        <f>SQRT((2+(($AL$3+Table4[[#This Row],[Red2]])/2)/256)*($AL$3-Table4[[#This Row],[Red2]])^2 + 4*($AM$3-Table4[[#This Row],[Green2]])^2 + (2+(255-(($AL$3+Table4[[#This Row],[Red2]])/2))/256 )*($AN$3-Table4[[#This Row],[Blue2]])^2)</f>
        <v>574.92216694686158</v>
      </c>
      <c r="AP248" s="2">
        <f>SQRT((2+(($AO$3+Table4[[#This Row],[Red]])/2)/256)*($AO$3-Table4[[#This Row],[Red]])^2 + 4*($AP$3-Table4[[#This Row],[Green]])^2 + (2+(255-(($AO$3+Table4[[#This Row],[Red]])/2))/256 )*($AQ$3-Table4[[#This Row],[Blue]])^2)</f>
        <v>259.60682411100061</v>
      </c>
      <c r="AQ248" s="2">
        <f>SQRT(Table4[[#This Row],[diffPrimary2]]^2+Table4[[#This Row],[diffSecondary2]]^2)</f>
        <v>630.81788272993265</v>
      </c>
      <c r="AR248" s="786">
        <f>MIN(Table4[[#This Row],[MinOrig]],Table4[[#This Row],[MinSwap]])</f>
        <v>434.22035241697847</v>
      </c>
      <c r="AS248" s="2">
        <v>56.1820422822097</v>
      </c>
      <c r="AX248" s="4"/>
    </row>
    <row r="249" spans="1:50" x14ac:dyDescent="0.25">
      <c r="A249" t="s">
        <v>242</v>
      </c>
      <c r="B249">
        <v>0</v>
      </c>
      <c r="C249">
        <v>61</v>
      </c>
      <c r="D249">
        <v>165</v>
      </c>
      <c r="E249" s="512"/>
      <c r="F249">
        <v>200</v>
      </c>
      <c r="G249">
        <v>201</v>
      </c>
      <c r="H249">
        <v>199</v>
      </c>
      <c r="I249" s="513"/>
      <c r="J249">
        <v>255</v>
      </c>
      <c r="K249">
        <v>255</v>
      </c>
      <c r="L249">
        <v>255</v>
      </c>
      <c r="M249" s="3"/>
      <c r="Q249" s="4"/>
      <c r="U249" s="4"/>
      <c r="Y249" s="4"/>
      <c r="Z249">
        <f t="shared" si="33"/>
        <v>0</v>
      </c>
      <c r="AA249">
        <f t="shared" si="34"/>
        <v>0</v>
      </c>
      <c r="AB249">
        <f t="shared" si="35"/>
        <v>127.5</v>
      </c>
      <c r="AC249" s="26"/>
      <c r="AD249">
        <f t="shared" si="36"/>
        <v>255</v>
      </c>
      <c r="AE249">
        <f t="shared" si="37"/>
        <v>255</v>
      </c>
      <c r="AF249">
        <f t="shared" si="38"/>
        <v>255</v>
      </c>
      <c r="AG249" s="3"/>
      <c r="AH249">
        <f t="shared" si="39"/>
        <v>255</v>
      </c>
      <c r="AI249">
        <f t="shared" si="40"/>
        <v>255</v>
      </c>
      <c r="AJ249">
        <f t="shared" si="41"/>
        <v>255</v>
      </c>
      <c r="AK249" s="3"/>
      <c r="AL249">
        <f>SQRT((2+(($AL$3+Table4[[#This Row],[Red]])/2)/256)*($AL$3-Table4[[#This Row],[Red]])^2 + 4*($AM$3-Table4[[#This Row],[Green]])^2 + (2+(255-(($AL$3+Table4[[#This Row],[Red]])/2))/256 )*($AN$3-Table4[[#This Row],[Blue]])^2)</f>
        <v>559.8114184426305</v>
      </c>
      <c r="AM249">
        <f>SQRT((2+(($AO$3+Table4[[#This Row],[Red2]])/2)/256)*($AO$3-Table4[[#This Row],[Red2]])^2 + 4*($AP$3-Table4[[#This Row],[Green2]])^2 + (2+(255-(($AO$3+Table4[[#This Row],[Red2]])/2))/256 )*($AQ$3-Table4[[#This Row],[Blue2]])^2)</f>
        <v>600.34004361590769</v>
      </c>
      <c r="AN249">
        <f>SQRT(Table4[[#This Row],[diffPrimary]]^2+Table4[[#This Row],[diffSecondary]]^2)</f>
        <v>820.85138252152558</v>
      </c>
      <c r="AO249" s="2">
        <f>SQRT((2+(($AL$3+Table4[[#This Row],[Red2]])/2)/256)*($AL$3-Table4[[#This Row],[Red2]])^2 + 4*($AM$3-Table4[[#This Row],[Green2]])^2 + (2+(255-(($AL$3+Table4[[#This Row],[Red2]])/2))/256 )*($AN$3-Table4[[#This Row],[Blue2]])^2)</f>
        <v>303.740425517826</v>
      </c>
      <c r="AP249" s="2">
        <f>SQRT((2+(($AO$3+Table4[[#This Row],[Red]])/2)/256)*($AO$3-Table4[[#This Row],[Red]])^2 + 4*($AP$3-Table4[[#This Row],[Green]])^2 + (2+(255-(($AO$3+Table4[[#This Row],[Red]])/2))/256 )*($AQ$3-Table4[[#This Row],[Blue]])^2)</f>
        <v>310.56827324076426</v>
      </c>
      <c r="AQ249" s="2">
        <f>SQRT(Table4[[#This Row],[diffPrimary2]]^2+Table4[[#This Row],[diffSecondary2]]^2)</f>
        <v>434.4086767520879</v>
      </c>
      <c r="AR249" s="786">
        <f>MIN(Table4[[#This Row],[MinOrig]],Table4[[#This Row],[MinSwap]])</f>
        <v>434.4086767520879</v>
      </c>
      <c r="AS249" s="2">
        <v>106.175028696723</v>
      </c>
      <c r="AX249" s="4"/>
    </row>
    <row r="250" spans="1:50" x14ac:dyDescent="0.25">
      <c r="A250" t="s">
        <v>121</v>
      </c>
      <c r="B250">
        <v>0</v>
      </c>
      <c r="C250">
        <v>2</v>
      </c>
      <c r="D250">
        <v>128</v>
      </c>
      <c r="E250" s="296"/>
      <c r="F250">
        <v>255</v>
      </c>
      <c r="G250">
        <v>255</v>
      </c>
      <c r="H250">
        <v>255</v>
      </c>
      <c r="I250" s="3"/>
      <c r="M250" s="4"/>
      <c r="Q250" s="4"/>
      <c r="U250" s="4"/>
      <c r="Y250" s="4"/>
      <c r="Z250">
        <f t="shared" si="33"/>
        <v>0</v>
      </c>
      <c r="AA250">
        <f t="shared" si="34"/>
        <v>0</v>
      </c>
      <c r="AB250">
        <f t="shared" si="35"/>
        <v>127.5</v>
      </c>
      <c r="AC250" s="26"/>
      <c r="AD250">
        <f t="shared" si="36"/>
        <v>255</v>
      </c>
      <c r="AE250">
        <f t="shared" si="37"/>
        <v>255</v>
      </c>
      <c r="AF250">
        <f t="shared" si="38"/>
        <v>255</v>
      </c>
      <c r="AG250" s="3"/>
      <c r="AH250">
        <f t="shared" si="39"/>
        <v>0</v>
      </c>
      <c r="AI250">
        <f t="shared" si="40"/>
        <v>0</v>
      </c>
      <c r="AJ250">
        <f t="shared" si="41"/>
        <v>0</v>
      </c>
      <c r="AK250" s="4"/>
      <c r="AL250">
        <f>SQRT((2+(($AL$3+Table4[[#This Row],[Red]])/2)/256)*($AL$3-Table4[[#This Row],[Red]])^2 + 4*($AM$3-Table4[[#This Row],[Green]])^2 + (2+(255-(($AL$3+Table4[[#This Row],[Red]])/2))/256 )*($AN$3-Table4[[#This Row],[Blue]])^2)</f>
        <v>606.79444464074902</v>
      </c>
      <c r="AM250">
        <f>SQRT((2+(($AO$3+Table4[[#This Row],[Red2]])/2)/256)*($AO$3-Table4[[#This Row],[Red2]])^2 + 4*($AP$3-Table4[[#This Row],[Green2]])^2 + (2+(255-(($AO$3+Table4[[#This Row],[Red2]])/2))/256 )*($AQ$3-Table4[[#This Row],[Blue2]])^2)</f>
        <v>764.83396635724148</v>
      </c>
      <c r="AN250">
        <f>SQRT(Table4[[#This Row],[diffPrimary]]^2+Table4[[#This Row],[diffSecondary]]^2)</f>
        <v>976.30450892158899</v>
      </c>
      <c r="AO250" s="2">
        <f>SQRT((2+(($AL$3+Table4[[#This Row],[Red2]])/2)/256)*($AL$3-Table4[[#This Row],[Red2]])^2 + 4*($AM$3-Table4[[#This Row],[Green2]])^2 + (2+(255-(($AL$3+Table4[[#This Row],[Red2]])/2))/256 )*($AN$3-Table4[[#This Row],[Blue2]])^2)</f>
        <v>374.23254802328461</v>
      </c>
      <c r="AP250" s="2">
        <f>SQRT((2+(($AO$3+Table4[[#This Row],[Red]])/2)/256)*($AO$3-Table4[[#This Row],[Red]])^2 + 4*($AP$3-Table4[[#This Row],[Green]])^2 + (2+(255-(($AO$3+Table4[[#This Row],[Red]])/2))/256 )*($AQ$3-Table4[[#This Row],[Blue]])^2)</f>
        <v>221.59422375143265</v>
      </c>
      <c r="AQ250" s="2">
        <f>SQRT(Table4[[#This Row],[diffPrimary2]]^2+Table4[[#This Row],[diffSecondary2]]^2)</f>
        <v>434.91838314791897</v>
      </c>
      <c r="AR250" s="786">
        <f>MIN(Table4[[#This Row],[MinOrig]],Table4[[#This Row],[MinSwap]])</f>
        <v>434.91838314791897</v>
      </c>
      <c r="AS250" s="2">
        <v>77.748279221311407</v>
      </c>
      <c r="AX250" s="4"/>
    </row>
    <row r="251" spans="1:50" x14ac:dyDescent="0.25">
      <c r="A251" t="s">
        <v>91</v>
      </c>
      <c r="B251">
        <v>134</v>
      </c>
      <c r="C251">
        <v>0</v>
      </c>
      <c r="D251">
        <v>56</v>
      </c>
      <c r="E251" s="100"/>
      <c r="F251">
        <v>255</v>
      </c>
      <c r="G251">
        <v>255</v>
      </c>
      <c r="H251">
        <v>255</v>
      </c>
      <c r="I251" s="3"/>
      <c r="M251" s="4"/>
      <c r="Q251" s="4"/>
      <c r="U251" s="4"/>
      <c r="Y251" s="4"/>
      <c r="Z251">
        <f t="shared" si="33"/>
        <v>127.5</v>
      </c>
      <c r="AA251">
        <f t="shared" si="34"/>
        <v>0</v>
      </c>
      <c r="AB251">
        <f t="shared" si="35"/>
        <v>0</v>
      </c>
      <c r="AC251" s="27"/>
      <c r="AD251">
        <f t="shared" si="36"/>
        <v>255</v>
      </c>
      <c r="AE251">
        <f t="shared" si="37"/>
        <v>255</v>
      </c>
      <c r="AF251">
        <f t="shared" si="38"/>
        <v>255</v>
      </c>
      <c r="AG251" s="3"/>
      <c r="AH251">
        <f t="shared" si="39"/>
        <v>0</v>
      </c>
      <c r="AI251">
        <f t="shared" si="40"/>
        <v>0</v>
      </c>
      <c r="AJ251">
        <f t="shared" si="41"/>
        <v>0</v>
      </c>
      <c r="AK251" s="4"/>
      <c r="AL251">
        <f>SQRT((2+(($AL$3+Table4[[#This Row],[Red]])/2)/256)*($AL$3-Table4[[#This Row],[Red]])^2 + 4*($AM$3-Table4[[#This Row],[Green]])^2 + (2+(255-(($AL$3+Table4[[#This Row],[Red]])/2))/256 )*($AN$3-Table4[[#This Row],[Blue]])^2)</f>
        <v>464.24008176333183</v>
      </c>
      <c r="AM251">
        <f>SQRT((2+(($AO$3+Table4[[#This Row],[Red2]])/2)/256)*($AO$3-Table4[[#This Row],[Red2]])^2 + 4*($AP$3-Table4[[#This Row],[Green2]])^2 + (2+(255-(($AO$3+Table4[[#This Row],[Red2]])/2))/256 )*($AQ$3-Table4[[#This Row],[Blue2]])^2)</f>
        <v>764.83396635724148</v>
      </c>
      <c r="AN251">
        <f>SQRT(Table4[[#This Row],[diffPrimary]]^2+Table4[[#This Row],[diffSecondary]]^2)</f>
        <v>894.70098335107184</v>
      </c>
      <c r="AO251" s="2">
        <f>SQRT((2+(($AL$3+Table4[[#This Row],[Red2]])/2)/256)*($AL$3-Table4[[#This Row],[Red2]])^2 + 4*($AM$3-Table4[[#This Row],[Green2]])^2 + (2+(255-(($AL$3+Table4[[#This Row],[Red2]])/2))/256 )*($AN$3-Table4[[#This Row],[Blue2]])^2)</f>
        <v>374.23254802328461</v>
      </c>
      <c r="AP251" s="2">
        <f>SQRT((2+(($AO$3+Table4[[#This Row],[Red]])/2)/256)*($AO$3-Table4[[#This Row],[Red]])^2 + 4*($AP$3-Table4[[#This Row],[Green]])^2 + (2+(255-(($AO$3+Table4[[#This Row],[Red]])/2))/256 )*($AQ$3-Table4[[#This Row],[Blue]])^2)</f>
        <v>221.78012055862897</v>
      </c>
      <c r="AQ251" s="2">
        <f>SQRT(Table4[[#This Row],[diffPrimary2]]^2+Table4[[#This Row],[diffSecondary2]]^2)</f>
        <v>435.01312839384519</v>
      </c>
      <c r="AR251" s="786">
        <f>MIN(Table4[[#This Row],[MinOrig]],Table4[[#This Row],[MinSwap]])</f>
        <v>435.01312839384519</v>
      </c>
      <c r="AS251" s="2">
        <v>73.337698141883394</v>
      </c>
      <c r="AX251" s="4"/>
    </row>
    <row r="252" spans="1:50" x14ac:dyDescent="0.25">
      <c r="A252" t="s">
        <v>171</v>
      </c>
      <c r="B252">
        <v>204</v>
      </c>
      <c r="C252">
        <v>9</v>
      </c>
      <c r="D252">
        <v>47</v>
      </c>
      <c r="E252" s="423"/>
      <c r="F252">
        <v>22</v>
      </c>
      <c r="G252">
        <v>43</v>
      </c>
      <c r="H252">
        <v>72</v>
      </c>
      <c r="I252" s="424"/>
      <c r="J252">
        <v>0</v>
      </c>
      <c r="K252">
        <v>107</v>
      </c>
      <c r="L252">
        <v>166</v>
      </c>
      <c r="M252" s="425"/>
      <c r="N252">
        <v>255</v>
      </c>
      <c r="O252">
        <v>255</v>
      </c>
      <c r="P252">
        <v>255</v>
      </c>
      <c r="Q252" s="3"/>
      <c r="U252" s="4"/>
      <c r="Y252" s="4"/>
      <c r="Z252">
        <f t="shared" si="33"/>
        <v>255</v>
      </c>
      <c r="AA252">
        <f t="shared" si="34"/>
        <v>0</v>
      </c>
      <c r="AB252">
        <f t="shared" si="35"/>
        <v>0</v>
      </c>
      <c r="AC252" s="5"/>
      <c r="AD252">
        <f t="shared" si="36"/>
        <v>0</v>
      </c>
      <c r="AE252">
        <f t="shared" si="37"/>
        <v>0</v>
      </c>
      <c r="AF252">
        <f t="shared" si="38"/>
        <v>127.5</v>
      </c>
      <c r="AG252" s="26"/>
      <c r="AH252">
        <f t="shared" si="39"/>
        <v>0</v>
      </c>
      <c r="AI252">
        <f t="shared" si="40"/>
        <v>127.5</v>
      </c>
      <c r="AJ252">
        <f t="shared" si="41"/>
        <v>127.5</v>
      </c>
      <c r="AK252" s="24"/>
      <c r="AL252">
        <f>SQRT((2+(($AL$3+Table4[[#This Row],[Red]])/2)/256)*($AL$3-Table4[[#This Row],[Red]])^2 + 4*($AM$3-Table4[[#This Row],[Green]])^2 + (2+(255-(($AL$3+Table4[[#This Row],[Red]])/2))/256 )*($AN$3-Table4[[#This Row],[Blue]])^2)</f>
        <v>407.22941073644228</v>
      </c>
      <c r="AM252">
        <f>SQRT((2+(($AO$3+Table4[[#This Row],[Red2]])/2)/256)*($AO$3-Table4[[#This Row],[Red2]])^2 + 4*($AP$3-Table4[[#This Row],[Green2]])^2 + (2+(255-(($AO$3+Table4[[#This Row],[Red2]])/2))/256 )*($AQ$3-Table4[[#This Row],[Blue2]])^2)</f>
        <v>153.92789505154678</v>
      </c>
      <c r="AN252">
        <f>SQRT(Table4[[#This Row],[diffPrimary]]^2+Table4[[#This Row],[diffSecondary]]^2)</f>
        <v>435.34996249425586</v>
      </c>
      <c r="AO252" s="2">
        <f>SQRT((2+(($AL$3+Table4[[#This Row],[Red2]])/2)/256)*($AL$3-Table4[[#This Row],[Red2]])^2 + 4*($AM$3-Table4[[#This Row],[Green2]])^2 + (2+(255-(($AL$3+Table4[[#This Row],[Red2]])/2))/256 )*($AN$3-Table4[[#This Row],[Blue2]])^2)</f>
        <v>505.62072966367293</v>
      </c>
      <c r="AP252" s="2">
        <f>SQRT((2+(($AO$3+Table4[[#This Row],[Red]])/2)/256)*($AO$3-Table4[[#This Row],[Red]])^2 + 4*($AP$3-Table4[[#This Row],[Green]])^2 + (2+(255-(($AO$3+Table4[[#This Row],[Red]])/2))/256 )*($AQ$3-Table4[[#This Row],[Blue]])^2)</f>
        <v>325.38530645413294</v>
      </c>
      <c r="AQ252" s="2">
        <f>SQRT(Table4[[#This Row],[diffPrimary2]]^2+Table4[[#This Row],[diffSecondary2]]^2)</f>
        <v>601.2719184544336</v>
      </c>
      <c r="AR252" s="786">
        <f>MIN(Table4[[#This Row],[MinOrig]],Table4[[#This Row],[MinSwap]])</f>
        <v>435.34996249425586</v>
      </c>
      <c r="AS252" s="2">
        <v>41.101294459542302</v>
      </c>
      <c r="AX252" s="4"/>
    </row>
    <row r="253" spans="1:50" x14ac:dyDescent="0.25">
      <c r="A253" t="s">
        <v>140</v>
      </c>
      <c r="B253">
        <v>0</v>
      </c>
      <c r="C253">
        <v>45</v>
      </c>
      <c r="D253">
        <v>98</v>
      </c>
      <c r="E253" s="14"/>
      <c r="F253">
        <v>196</v>
      </c>
      <c r="G253">
        <v>18</v>
      </c>
      <c r="H253">
        <v>48</v>
      </c>
      <c r="I253" s="78"/>
      <c r="J253">
        <v>255</v>
      </c>
      <c r="K253">
        <v>255</v>
      </c>
      <c r="L253">
        <v>255</v>
      </c>
      <c r="M253" s="3"/>
      <c r="N253">
        <v>198</v>
      </c>
      <c r="O253">
        <v>200</v>
      </c>
      <c r="P253">
        <v>202</v>
      </c>
      <c r="Q253" s="328"/>
      <c r="U253" s="4"/>
      <c r="Y253" s="4"/>
      <c r="Z253">
        <f t="shared" si="33"/>
        <v>0</v>
      </c>
      <c r="AA253">
        <f t="shared" si="34"/>
        <v>0</v>
      </c>
      <c r="AB253">
        <f t="shared" si="35"/>
        <v>127.5</v>
      </c>
      <c r="AC253" s="26"/>
      <c r="AD253">
        <f t="shared" si="36"/>
        <v>255</v>
      </c>
      <c r="AE253">
        <f t="shared" si="37"/>
        <v>0</v>
      </c>
      <c r="AF253">
        <f t="shared" si="38"/>
        <v>0</v>
      </c>
      <c r="AG253" s="5"/>
      <c r="AH253">
        <f t="shared" si="39"/>
        <v>255</v>
      </c>
      <c r="AI253">
        <f t="shared" si="40"/>
        <v>255</v>
      </c>
      <c r="AJ253">
        <f t="shared" si="41"/>
        <v>255</v>
      </c>
      <c r="AK253" s="3"/>
      <c r="AL253">
        <f>SQRT((2+(($AL$3+Table4[[#This Row],[Red]])/2)/256)*($AL$3-Table4[[#This Row],[Red]])^2 + 4*($AM$3-Table4[[#This Row],[Green]])^2 + (2+(255-(($AL$3+Table4[[#This Row],[Red]])/2))/256 )*($AN$3-Table4[[#This Row],[Blue]])^2)</f>
        <v>537.42603233782324</v>
      </c>
      <c r="AM253">
        <f>SQRT((2+(($AO$3+Table4[[#This Row],[Red2]])/2)/256)*($AO$3-Table4[[#This Row],[Red2]])^2 + 4*($AP$3-Table4[[#This Row],[Green2]])^2 + (2+(255-(($AO$3+Table4[[#This Row],[Red2]])/2))/256 )*($AQ$3-Table4[[#This Row],[Blue2]])^2)</f>
        <v>314.41234867606585</v>
      </c>
      <c r="AN253">
        <f>SQRT(Table4[[#This Row],[diffPrimary]]^2+Table4[[#This Row],[diffSecondary]]^2)</f>
        <v>622.64104043531779</v>
      </c>
      <c r="AO253" s="2">
        <f>SQRT((2+(($AL$3+Table4[[#This Row],[Red2]])/2)/256)*($AL$3-Table4[[#This Row],[Red2]])^2 + 4*($AM$3-Table4[[#This Row],[Green2]])^2 + (2+(255-(($AL$3+Table4[[#This Row],[Red2]])/2))/256 )*($AN$3-Table4[[#This Row],[Blue2]])^2)</f>
        <v>393.41806197018332</v>
      </c>
      <c r="AP253" s="2">
        <f>SQRT((2+(($AO$3+Table4[[#This Row],[Red]])/2)/256)*($AO$3-Table4[[#This Row],[Red]])^2 + 4*($AP$3-Table4[[#This Row],[Green]])^2 + (2+(255-(($AO$3+Table4[[#This Row],[Red]])/2))/256 )*($AQ$3-Table4[[#This Row],[Blue]])^2)</f>
        <v>192.02730111887738</v>
      </c>
      <c r="AQ253" s="2">
        <f>SQRT(Table4[[#This Row],[diffPrimary2]]^2+Table4[[#This Row],[diffSecondary2]]^2)</f>
        <v>437.78105927435348</v>
      </c>
      <c r="AR253" s="786">
        <f>MIN(Table4[[#This Row],[MinOrig]],Table4[[#This Row],[MinSwap]])</f>
        <v>437.78105927435348</v>
      </c>
      <c r="AS253" s="2">
        <v>28.9182576411512</v>
      </c>
      <c r="AX253" s="4"/>
    </row>
    <row r="254" spans="1:50" x14ac:dyDescent="0.25">
      <c r="A254" t="s">
        <v>233</v>
      </c>
      <c r="B254">
        <v>194</v>
      </c>
      <c r="C254">
        <v>1</v>
      </c>
      <c r="D254">
        <v>27</v>
      </c>
      <c r="E254" s="453"/>
      <c r="F254">
        <v>209</v>
      </c>
      <c r="G254">
        <v>211</v>
      </c>
      <c r="H254">
        <v>212</v>
      </c>
      <c r="I254" s="454"/>
      <c r="J254">
        <v>0</v>
      </c>
      <c r="K254">
        <v>60</v>
      </c>
      <c r="L254">
        <v>113</v>
      </c>
      <c r="M254" s="455"/>
      <c r="N254">
        <v>255</v>
      </c>
      <c r="O254">
        <v>255</v>
      </c>
      <c r="P254">
        <v>255</v>
      </c>
      <c r="Q254" s="3"/>
      <c r="U254" s="4"/>
      <c r="Y254" s="4"/>
      <c r="Z254">
        <f t="shared" si="33"/>
        <v>255</v>
      </c>
      <c r="AA254">
        <f t="shared" si="34"/>
        <v>0</v>
      </c>
      <c r="AB254">
        <f t="shared" si="35"/>
        <v>0</v>
      </c>
      <c r="AC254" s="5"/>
      <c r="AD254">
        <f t="shared" si="36"/>
        <v>255</v>
      </c>
      <c r="AE254">
        <f t="shared" si="37"/>
        <v>255</v>
      </c>
      <c r="AF254">
        <f t="shared" si="38"/>
        <v>255</v>
      </c>
      <c r="AG254" s="3"/>
      <c r="AH254">
        <f t="shared" si="39"/>
        <v>0</v>
      </c>
      <c r="AI254">
        <f t="shared" si="40"/>
        <v>0</v>
      </c>
      <c r="AJ254">
        <f t="shared" si="41"/>
        <v>127.5</v>
      </c>
      <c r="AK254" s="26"/>
      <c r="AL254">
        <f>SQRT((2+(($AL$3+Table4[[#This Row],[Red]])/2)/256)*($AL$3-Table4[[#This Row],[Red]])^2 + 4*($AM$3-Table4[[#This Row],[Green]])^2 + (2+(255-(($AL$3+Table4[[#This Row],[Red]])/2))/256 )*($AN$3-Table4[[#This Row],[Blue]])^2)</f>
        <v>422.74578187576276</v>
      </c>
      <c r="AM254">
        <f>SQRT((2+(($AO$3+Table4[[#This Row],[Red2]])/2)/256)*($AO$3-Table4[[#This Row],[Red2]])^2 + 4*($AP$3-Table4[[#This Row],[Green2]])^2 + (2+(255-(($AO$3+Table4[[#This Row],[Red2]])/2))/256 )*($AQ$3-Table4[[#This Row],[Blue2]])^2)</f>
        <v>632.12884521521801</v>
      </c>
      <c r="AN254">
        <f>SQRT(Table4[[#This Row],[diffPrimary]]^2+Table4[[#This Row],[diffSecondary]]^2)</f>
        <v>760.46096089600485</v>
      </c>
      <c r="AO254" s="2">
        <f>SQRT((2+(($AL$3+Table4[[#This Row],[Red2]])/2)/256)*($AL$3-Table4[[#This Row],[Red2]])^2 + 4*($AM$3-Table4[[#This Row],[Green2]])^2 + (2+(255-(($AL$3+Table4[[#This Row],[Red2]])/2))/256 )*($AN$3-Table4[[#This Row],[Blue2]])^2)</f>
        <v>316.57473446249622</v>
      </c>
      <c r="AP254" s="2">
        <f>SQRT((2+(($AO$3+Table4[[#This Row],[Red]])/2)/256)*($AO$3-Table4[[#This Row],[Red]])^2 + 4*($AP$3-Table4[[#This Row],[Green]])^2 + (2+(255-(($AO$3+Table4[[#This Row],[Red]])/2))/256 )*($AQ$3-Table4[[#This Row],[Blue]])^2)</f>
        <v>302.39782623640008</v>
      </c>
      <c r="AQ254" s="2">
        <f>SQRT(Table4[[#This Row],[diffPrimary2]]^2+Table4[[#This Row],[diffSecondary2]]^2)</f>
        <v>437.79448124947851</v>
      </c>
      <c r="AR254" s="786">
        <f>MIN(Table4[[#This Row],[MinOrig]],Table4[[#This Row],[MinSwap]])</f>
        <v>437.79448124947851</v>
      </c>
      <c r="AS254" s="2">
        <v>55.518964946673897</v>
      </c>
      <c r="AX254" s="4"/>
    </row>
    <row r="255" spans="1:50" x14ac:dyDescent="0.25">
      <c r="A255" t="s">
        <v>61</v>
      </c>
      <c r="B255">
        <v>166</v>
      </c>
      <c r="C255">
        <v>25</v>
      </c>
      <c r="D255">
        <v>46</v>
      </c>
      <c r="E255" s="195"/>
      <c r="F255">
        <v>94</v>
      </c>
      <c r="G255">
        <v>57</v>
      </c>
      <c r="H255">
        <v>32</v>
      </c>
      <c r="I255" s="196"/>
      <c r="J255">
        <v>137</v>
      </c>
      <c r="K255">
        <v>87</v>
      </c>
      <c r="L255">
        <v>46</v>
      </c>
      <c r="M255" s="197"/>
      <c r="N255">
        <v>0</v>
      </c>
      <c r="O255">
        <v>0</v>
      </c>
      <c r="P255">
        <v>0</v>
      </c>
      <c r="Q255" s="4"/>
      <c r="R255">
        <v>255</v>
      </c>
      <c r="S255">
        <v>255</v>
      </c>
      <c r="T255">
        <v>255</v>
      </c>
      <c r="U255" s="3"/>
      <c r="Y255" s="4"/>
      <c r="Z255">
        <f t="shared" si="33"/>
        <v>127.5</v>
      </c>
      <c r="AA255">
        <f t="shared" si="34"/>
        <v>0</v>
      </c>
      <c r="AB255">
        <f t="shared" si="35"/>
        <v>0</v>
      </c>
      <c r="AC255" s="27"/>
      <c r="AD255">
        <f t="shared" si="36"/>
        <v>127.5</v>
      </c>
      <c r="AE255">
        <f t="shared" si="37"/>
        <v>0</v>
      </c>
      <c r="AF255">
        <f t="shared" si="38"/>
        <v>0</v>
      </c>
      <c r="AG255" s="27"/>
      <c r="AH255">
        <f t="shared" si="39"/>
        <v>127.5</v>
      </c>
      <c r="AI255">
        <f t="shared" si="40"/>
        <v>127.5</v>
      </c>
      <c r="AJ255">
        <f t="shared" si="41"/>
        <v>0</v>
      </c>
      <c r="AK255" s="33"/>
      <c r="AL255">
        <f>SQRT((2+(($AL$3+Table4[[#This Row],[Red]])/2)/256)*($AL$3-Table4[[#This Row],[Red]])^2 + 4*($AM$3-Table4[[#This Row],[Green]])^2 + (2+(255-(($AL$3+Table4[[#This Row],[Red]])/2))/256 )*($AN$3-Table4[[#This Row],[Blue]])^2)</f>
        <v>395.67030003289989</v>
      </c>
      <c r="AM255">
        <f>SQRT((2+(($AO$3+Table4[[#This Row],[Red2]])/2)/256)*($AO$3-Table4[[#This Row],[Red2]])^2 + 4*($AP$3-Table4[[#This Row],[Green2]])^2 + (2+(255-(($AO$3+Table4[[#This Row],[Red2]])/2))/256 )*($AQ$3-Table4[[#This Row],[Blue2]])^2)</f>
        <v>187.53728795895498</v>
      </c>
      <c r="AN255">
        <f>SQRT(Table4[[#This Row],[diffPrimary]]^2+Table4[[#This Row],[diffSecondary]]^2)</f>
        <v>437.86438620093895</v>
      </c>
      <c r="AO255" s="2">
        <f>SQRT((2+(($AL$3+Table4[[#This Row],[Red2]])/2)/256)*($AL$3-Table4[[#This Row],[Red2]])^2 + 4*($AM$3-Table4[[#This Row],[Green2]])^2 + (2+(255-(($AL$3+Table4[[#This Row],[Red2]])/2))/256 )*($AN$3-Table4[[#This Row],[Blue2]])^2)</f>
        <v>399.37051298340117</v>
      </c>
      <c r="AP255" s="2">
        <f>SQRT((2+(($AO$3+Table4[[#This Row],[Red]])/2)/256)*($AO$3-Table4[[#This Row],[Red]])^2 + 4*($AP$3-Table4[[#This Row],[Green]])^2 + (2+(255-(($AO$3+Table4[[#This Row],[Red]])/2))/256 )*($AQ$3-Table4[[#This Row],[Blue]])^2)</f>
        <v>268.70031517473143</v>
      </c>
      <c r="AQ255" s="2">
        <f>SQRT(Table4[[#This Row],[diffPrimary2]]^2+Table4[[#This Row],[diffSecondary2]]^2)</f>
        <v>481.34879870591243</v>
      </c>
      <c r="AR255" s="786">
        <f>MIN(Table4[[#This Row],[MinOrig]],Table4[[#This Row],[MinSwap]])</f>
        <v>437.86438620093895</v>
      </c>
      <c r="AS255" s="2">
        <v>51.021575552652202</v>
      </c>
      <c r="AX255" s="4"/>
    </row>
    <row r="256" spans="1:50" x14ac:dyDescent="0.25">
      <c r="A256" t="s">
        <v>160</v>
      </c>
      <c r="B256">
        <v>151</v>
      </c>
      <c r="C256">
        <v>27</v>
      </c>
      <c r="D256">
        <v>47</v>
      </c>
      <c r="E256" s="578"/>
      <c r="F256">
        <v>87</v>
      </c>
      <c r="G256">
        <v>41</v>
      </c>
      <c r="H256">
        <v>50</v>
      </c>
      <c r="I256" s="579"/>
      <c r="J256">
        <v>177</v>
      </c>
      <c r="K256">
        <v>179</v>
      </c>
      <c r="L256">
        <v>179</v>
      </c>
      <c r="M256" s="67"/>
      <c r="N256">
        <v>0</v>
      </c>
      <c r="O256">
        <v>0</v>
      </c>
      <c r="P256">
        <v>0</v>
      </c>
      <c r="Q256" s="4"/>
      <c r="U256" s="4"/>
      <c r="Y256" s="4"/>
      <c r="Z256">
        <f t="shared" si="33"/>
        <v>127.5</v>
      </c>
      <c r="AA256">
        <f t="shared" si="34"/>
        <v>0</v>
      </c>
      <c r="AB256">
        <f t="shared" si="35"/>
        <v>0</v>
      </c>
      <c r="AC256" s="27"/>
      <c r="AD256">
        <f t="shared" si="36"/>
        <v>127.5</v>
      </c>
      <c r="AE256">
        <f t="shared" si="37"/>
        <v>0</v>
      </c>
      <c r="AF256">
        <f t="shared" si="38"/>
        <v>0</v>
      </c>
      <c r="AG256" s="27"/>
      <c r="AH256">
        <f t="shared" si="39"/>
        <v>127.5</v>
      </c>
      <c r="AI256">
        <f t="shared" si="40"/>
        <v>127.5</v>
      </c>
      <c r="AJ256">
        <f t="shared" si="41"/>
        <v>127.5</v>
      </c>
      <c r="AK256" s="32"/>
      <c r="AL256">
        <f>SQRT((2+(($AL$3+Table4[[#This Row],[Red]])/2)/256)*($AL$3-Table4[[#This Row],[Red]])^2 + 4*($AM$3-Table4[[#This Row],[Green]])^2 + (2+(255-(($AL$3+Table4[[#This Row],[Red]])/2))/256 )*($AN$3-Table4[[#This Row],[Blue]])^2)</f>
        <v>402.25794352007517</v>
      </c>
      <c r="AM256">
        <f>SQRT((2+(($AO$3+Table4[[#This Row],[Red2]])/2)/256)*($AO$3-Table4[[#This Row],[Red2]])^2 + 4*($AP$3-Table4[[#This Row],[Green2]])^2 + (2+(255-(($AO$3+Table4[[#This Row],[Red2]])/2))/256 )*($AQ$3-Table4[[#This Row],[Blue2]])^2)</f>
        <v>173.82050615325858</v>
      </c>
      <c r="AN256">
        <f>SQRT(Table4[[#This Row],[diffPrimary]]^2+Table4[[#This Row],[diffSecondary]]^2)</f>
        <v>438.20659680608986</v>
      </c>
      <c r="AO256" s="2">
        <f>SQRT((2+(($AL$3+Table4[[#This Row],[Red2]])/2)/256)*($AL$3-Table4[[#This Row],[Red2]])^2 + 4*($AM$3-Table4[[#This Row],[Green2]])^2 + (2+(255-(($AL$3+Table4[[#This Row],[Red2]])/2))/256 )*($AN$3-Table4[[#This Row],[Blue2]])^2)</f>
        <v>434.40195959502762</v>
      </c>
      <c r="AP256" s="2">
        <f>SQRT((2+(($AO$3+Table4[[#This Row],[Red]])/2)/256)*($AO$3-Table4[[#This Row],[Red]])^2 + 4*($AP$3-Table4[[#This Row],[Green]])^2 + (2+(255-(($AO$3+Table4[[#This Row],[Red]])/2))/256 )*($AQ$3-Table4[[#This Row],[Blue]])^2)</f>
        <v>247.40534016821465</v>
      </c>
      <c r="AQ256" s="2">
        <f>SQRT(Table4[[#This Row],[diffPrimary2]]^2+Table4[[#This Row],[diffSecondary2]]^2)</f>
        <v>499.9144575262352</v>
      </c>
      <c r="AR256" s="786">
        <f>MIN(Table4[[#This Row],[MinOrig]],Table4[[#This Row],[MinSwap]])</f>
        <v>438.20659680608986</v>
      </c>
      <c r="AS256" s="2">
        <v>51.021575552652202</v>
      </c>
      <c r="AX256" s="4"/>
    </row>
    <row r="257" spans="1:50" x14ac:dyDescent="0.25">
      <c r="A257" t="s">
        <v>58</v>
      </c>
      <c r="B257">
        <v>0</v>
      </c>
      <c r="C257">
        <v>56</v>
      </c>
      <c r="D257">
        <v>101</v>
      </c>
      <c r="E257" s="125"/>
      <c r="F257">
        <v>155</v>
      </c>
      <c r="G257">
        <v>203</v>
      </c>
      <c r="H257">
        <v>235</v>
      </c>
      <c r="I257" s="185"/>
      <c r="J257">
        <v>255</v>
      </c>
      <c r="K257">
        <v>255</v>
      </c>
      <c r="L257">
        <v>255</v>
      </c>
      <c r="M257" s="3"/>
      <c r="Q257" s="4"/>
      <c r="U257" s="4"/>
      <c r="Y257" s="4"/>
      <c r="Z257">
        <f t="shared" si="33"/>
        <v>0</v>
      </c>
      <c r="AA257">
        <f t="shared" si="34"/>
        <v>0</v>
      </c>
      <c r="AB257">
        <f t="shared" si="35"/>
        <v>127.5</v>
      </c>
      <c r="AC257" s="26"/>
      <c r="AD257">
        <f t="shared" si="36"/>
        <v>127.5</v>
      </c>
      <c r="AE257">
        <f t="shared" si="37"/>
        <v>255</v>
      </c>
      <c r="AF257">
        <f t="shared" si="38"/>
        <v>255</v>
      </c>
      <c r="AG257" s="35"/>
      <c r="AH257">
        <f t="shared" si="39"/>
        <v>255</v>
      </c>
      <c r="AI257">
        <f t="shared" si="40"/>
        <v>255</v>
      </c>
      <c r="AJ257">
        <f t="shared" si="41"/>
        <v>255</v>
      </c>
      <c r="AK257" s="3"/>
      <c r="AL257">
        <f>SQRT((2+(($AL$3+Table4[[#This Row],[Red]])/2)/256)*($AL$3-Table4[[#This Row],[Red]])^2 + 4*($AM$3-Table4[[#This Row],[Green]])^2 + (2+(255-(($AL$3+Table4[[#This Row],[Red]])/2))/256 )*($AN$3-Table4[[#This Row],[Blue]])^2)</f>
        <v>526.04379496269132</v>
      </c>
      <c r="AM257">
        <f>SQRT((2+(($AO$3+Table4[[#This Row],[Red2]])/2)/256)*($AO$3-Table4[[#This Row],[Red2]])^2 + 4*($AP$3-Table4[[#This Row],[Green2]])^2 + (2+(255-(($AO$3+Table4[[#This Row],[Red2]])/2))/256 )*($AQ$3-Table4[[#This Row],[Blue2]])^2)</f>
        <v>607.37135662109552</v>
      </c>
      <c r="AN257">
        <f>SQRT(Table4[[#This Row],[diffPrimary]]^2+Table4[[#This Row],[diffSecondary]]^2)</f>
        <v>803.50609149059972</v>
      </c>
      <c r="AO257" s="2">
        <f>SQRT((2+(($AL$3+Table4[[#This Row],[Red2]])/2)/256)*($AL$3-Table4[[#This Row],[Red2]])^2 + 4*($AM$3-Table4[[#This Row],[Green2]])^2 + (2+(255-(($AL$3+Table4[[#This Row],[Red2]])/2))/256 )*($AN$3-Table4[[#This Row],[Blue2]])^2)</f>
        <v>386.34174678967844</v>
      </c>
      <c r="AP257" s="2">
        <f>SQRT((2+(($AO$3+Table4[[#This Row],[Red]])/2)/256)*($AO$3-Table4[[#This Row],[Red]])^2 + 4*($AP$3-Table4[[#This Row],[Green]])^2 + (2+(255-(($AO$3+Table4[[#This Row],[Red]])/2))/256 )*($AQ$3-Table4[[#This Row],[Blue]])^2)</f>
        <v>207.62262001947187</v>
      </c>
      <c r="AQ257" s="2">
        <f>SQRT(Table4[[#This Row],[diffPrimary2]]^2+Table4[[#This Row],[diffSecondary2]]^2)</f>
        <v>438.59673694209124</v>
      </c>
      <c r="AR257" s="786">
        <f>MIN(Table4[[#This Row],[MinOrig]],Table4[[#This Row],[MinSwap]])</f>
        <v>438.59673694209124</v>
      </c>
      <c r="AS257" s="2">
        <v>53.281589075167403</v>
      </c>
      <c r="AX257" s="4"/>
    </row>
    <row r="258" spans="1:50" x14ac:dyDescent="0.25">
      <c r="A258" t="s">
        <v>270</v>
      </c>
      <c r="B258">
        <v>0</v>
      </c>
      <c r="C258">
        <v>84</v>
      </c>
      <c r="D258">
        <v>150</v>
      </c>
      <c r="E258" s="502"/>
      <c r="F258">
        <v>224</v>
      </c>
      <c r="G258">
        <v>58</v>
      </c>
      <c r="H258">
        <v>62</v>
      </c>
      <c r="I258" s="234"/>
      <c r="J258">
        <v>255</v>
      </c>
      <c r="K258">
        <v>255</v>
      </c>
      <c r="L258">
        <v>255</v>
      </c>
      <c r="M258" s="3"/>
      <c r="Q258" s="4"/>
      <c r="U258" s="4"/>
      <c r="Y258" s="4"/>
      <c r="Z258">
        <f t="shared" si="33"/>
        <v>0</v>
      </c>
      <c r="AA258">
        <f t="shared" si="34"/>
        <v>127.5</v>
      </c>
      <c r="AB258">
        <f t="shared" si="35"/>
        <v>127.5</v>
      </c>
      <c r="AC258" s="24"/>
      <c r="AD258">
        <f t="shared" si="36"/>
        <v>255</v>
      </c>
      <c r="AE258">
        <f t="shared" si="37"/>
        <v>0</v>
      </c>
      <c r="AF258">
        <f t="shared" si="38"/>
        <v>0</v>
      </c>
      <c r="AG258" s="5"/>
      <c r="AH258">
        <f t="shared" si="39"/>
        <v>255</v>
      </c>
      <c r="AI258">
        <f t="shared" si="40"/>
        <v>255</v>
      </c>
      <c r="AJ258">
        <f t="shared" si="41"/>
        <v>255</v>
      </c>
      <c r="AK258" s="3"/>
      <c r="AL258">
        <f>SQRT((2+(($AL$3+Table4[[#This Row],[Red]])/2)/256)*($AL$3-Table4[[#This Row],[Red]])^2 + 4*($AM$3-Table4[[#This Row],[Green]])^2 + (2+(255-(($AL$3+Table4[[#This Row],[Red]])/2))/256 )*($AN$3-Table4[[#This Row],[Blue]])^2)</f>
        <v>526.50313649053885</v>
      </c>
      <c r="AM258">
        <f>SQRT((2+(($AO$3+Table4[[#This Row],[Red2]])/2)/256)*($AO$3-Table4[[#This Row],[Red2]])^2 + 4*($AP$3-Table4[[#This Row],[Green2]])^2 + (2+(255-(($AO$3+Table4[[#This Row],[Red2]])/2))/256 )*($AQ$3-Table4[[#This Row],[Blue2]])^2)</f>
        <v>381.56943585014773</v>
      </c>
      <c r="AN258">
        <f>SQRT(Table4[[#This Row],[diffPrimary]]^2+Table4[[#This Row],[diffSecondary]]^2)</f>
        <v>650.2313335339777</v>
      </c>
      <c r="AO258" s="2">
        <f>SQRT((2+(($AL$3+Table4[[#This Row],[Red2]])/2)/256)*($AL$3-Table4[[#This Row],[Red2]])^2 + 4*($AM$3-Table4[[#This Row],[Green2]])^2 + (2+(255-(($AL$3+Table4[[#This Row],[Red2]])/2))/256 )*($AN$3-Table4[[#This Row],[Blue2]])^2)</f>
        <v>311.73354444841993</v>
      </c>
      <c r="AP258" s="2">
        <f>SQRT((2+(($AO$3+Table4[[#This Row],[Red]])/2)/256)*($AO$3-Table4[[#This Row],[Red]])^2 + 4*($AP$3-Table4[[#This Row],[Green]])^2 + (2+(255-(($AO$3+Table4[[#This Row],[Red]])/2))/256 )*($AQ$3-Table4[[#This Row],[Blue]])^2)</f>
        <v>309.2508841943706</v>
      </c>
      <c r="AQ258" s="2">
        <f>SQRT(Table4[[#This Row],[diffPrimary2]]^2+Table4[[#This Row],[diffSecondary2]]^2)</f>
        <v>439.1058096966778</v>
      </c>
      <c r="AR258" s="786">
        <f>MIN(Table4[[#This Row],[MinOrig]],Table4[[#This Row],[MinSwap]])</f>
        <v>439.1058096966778</v>
      </c>
      <c r="AS258" s="2">
        <v>90.720445428525096</v>
      </c>
      <c r="AX258" s="4"/>
    </row>
    <row r="259" spans="1:50" x14ac:dyDescent="0.25">
      <c r="A259" t="s">
        <v>30</v>
      </c>
      <c r="B259">
        <v>78</v>
      </c>
      <c r="C259">
        <v>54</v>
      </c>
      <c r="D259">
        <v>41</v>
      </c>
      <c r="E259" s="119"/>
      <c r="F259">
        <v>124</v>
      </c>
      <c r="G259">
        <v>37</v>
      </c>
      <c r="H259">
        <v>41</v>
      </c>
      <c r="I259" s="120"/>
      <c r="J259">
        <v>228</v>
      </c>
      <c r="K259">
        <v>0</v>
      </c>
      <c r="L259">
        <v>43</v>
      </c>
      <c r="M259" s="121"/>
      <c r="N259">
        <v>0</v>
      </c>
      <c r="O259">
        <v>0</v>
      </c>
      <c r="P259">
        <v>0</v>
      </c>
      <c r="Q259" s="4"/>
      <c r="U259" s="4"/>
      <c r="Y259" s="4"/>
      <c r="Z259">
        <f t="shared" si="33"/>
        <v>127.5</v>
      </c>
      <c r="AA259">
        <f t="shared" si="34"/>
        <v>0</v>
      </c>
      <c r="AB259">
        <f t="shared" si="35"/>
        <v>0</v>
      </c>
      <c r="AC259" s="27"/>
      <c r="AD259">
        <f t="shared" si="36"/>
        <v>127.5</v>
      </c>
      <c r="AE259">
        <f t="shared" si="37"/>
        <v>0</v>
      </c>
      <c r="AF259">
        <f t="shared" si="38"/>
        <v>0</v>
      </c>
      <c r="AG259" s="27"/>
      <c r="AH259">
        <f t="shared" si="39"/>
        <v>255</v>
      </c>
      <c r="AI259">
        <f t="shared" si="40"/>
        <v>0</v>
      </c>
      <c r="AJ259">
        <f t="shared" si="41"/>
        <v>0</v>
      </c>
      <c r="AK259" s="5"/>
      <c r="AL259">
        <f>SQRT((2+(($AL$3+Table4[[#This Row],[Red]])/2)/256)*($AL$3-Table4[[#This Row],[Red]])^2 + 4*($AM$3-Table4[[#This Row],[Green]])^2 + (2+(255-(($AL$3+Table4[[#This Row],[Red]])/2))/256 )*($AN$3-Table4[[#This Row],[Blue]])^2)</f>
        <v>422.11516774898058</v>
      </c>
      <c r="AM259">
        <f>SQRT((2+(($AO$3+Table4[[#This Row],[Red2]])/2)/256)*($AO$3-Table4[[#This Row],[Red2]])^2 + 4*($AP$3-Table4[[#This Row],[Green2]])^2 + (2+(255-(($AO$3+Table4[[#This Row],[Red2]])/2))/256 )*($AQ$3-Table4[[#This Row],[Blue2]])^2)</f>
        <v>211.14258548727207</v>
      </c>
      <c r="AN259">
        <f>SQRT(Table4[[#This Row],[diffPrimary]]^2+Table4[[#This Row],[diffSecondary]]^2)</f>
        <v>471.97712471050971</v>
      </c>
      <c r="AO259" s="2">
        <f>SQRT((2+(($AL$3+Table4[[#This Row],[Red2]])/2)/256)*($AL$3-Table4[[#This Row],[Red2]])^2 + 4*($AM$3-Table4[[#This Row],[Green2]])^2 + (2+(255-(($AL$3+Table4[[#This Row],[Red2]])/2))/256 )*($AN$3-Table4[[#This Row],[Blue2]])^2)</f>
        <v>404.61495488766849</v>
      </c>
      <c r="AP259" s="2">
        <f>SQRT((2+(($AO$3+Table4[[#This Row],[Red]])/2)/256)*($AO$3-Table4[[#This Row],[Red]])^2 + 4*($AP$3-Table4[[#This Row],[Green]])^2 + (2+(255-(($AO$3+Table4[[#This Row],[Red]])/2))/256 )*($AQ$3-Table4[[#This Row],[Blue]])^2)</f>
        <v>171.86972719184726</v>
      </c>
      <c r="AQ259" s="2">
        <f>SQRT(Table4[[#This Row],[diffPrimary2]]^2+Table4[[#This Row],[diffSecondary2]]^2)</f>
        <v>439.60489629182933</v>
      </c>
      <c r="AR259" s="786">
        <f>MIN(Table4[[#This Row],[MinOrig]],Table4[[#This Row],[MinSwap]])</f>
        <v>439.60489629182933</v>
      </c>
      <c r="AS259" s="2">
        <v>58.470161327167602</v>
      </c>
      <c r="AX259" s="4"/>
    </row>
    <row r="260" spans="1:50" x14ac:dyDescent="0.25">
      <c r="A260" t="s">
        <v>401</v>
      </c>
      <c r="B260">
        <v>79</v>
      </c>
      <c r="C260">
        <v>33</v>
      </c>
      <c r="D260">
        <v>112</v>
      </c>
      <c r="E260" s="63"/>
      <c r="F260">
        <v>255</v>
      </c>
      <c r="G260">
        <v>255</v>
      </c>
      <c r="H260">
        <v>255</v>
      </c>
      <c r="I260" s="3"/>
      <c r="J260">
        <v>197</v>
      </c>
      <c r="K260">
        <v>198</v>
      </c>
      <c r="L260">
        <v>200</v>
      </c>
      <c r="M260" s="64"/>
      <c r="Q260" s="4"/>
      <c r="U260" s="4"/>
      <c r="Y260" s="4"/>
      <c r="Z260">
        <f t="shared" si="33"/>
        <v>127.5</v>
      </c>
      <c r="AA260">
        <f t="shared" si="34"/>
        <v>0</v>
      </c>
      <c r="AB260">
        <f t="shared" si="35"/>
        <v>127.5</v>
      </c>
      <c r="AC260" s="30"/>
      <c r="AD260">
        <f t="shared" si="36"/>
        <v>255</v>
      </c>
      <c r="AE260">
        <f t="shared" si="37"/>
        <v>255</v>
      </c>
      <c r="AF260">
        <f t="shared" si="38"/>
        <v>255</v>
      </c>
      <c r="AG260" s="3"/>
      <c r="AH260">
        <f t="shared" si="39"/>
        <v>255</v>
      </c>
      <c r="AI260">
        <f t="shared" si="40"/>
        <v>255</v>
      </c>
      <c r="AJ260">
        <f t="shared" si="41"/>
        <v>255</v>
      </c>
      <c r="AK260" s="3"/>
      <c r="AL260">
        <f>SQRT((2+(($AL$3+Table4[[#This Row],[Red]])/2)/256)*($AL$3-Table4[[#This Row],[Red]])^2 + 4*($AM$3-Table4[[#This Row],[Green]])^2 + (2+(255-(($AL$3+Table4[[#This Row],[Red]])/2))/256 )*($AN$3-Table4[[#This Row],[Blue]])^2)</f>
        <v>479.47366976717291</v>
      </c>
      <c r="AM260">
        <f>SQRT((2+(($AO$3+Table4[[#This Row],[Red2]])/2)/256)*($AO$3-Table4[[#This Row],[Red2]])^2 + 4*($AP$3-Table4[[#This Row],[Green2]])^2 + (2+(255-(($AO$3+Table4[[#This Row],[Red2]])/2))/256 )*($AQ$3-Table4[[#This Row],[Blue2]])^2)</f>
        <v>764.83396635724148</v>
      </c>
      <c r="AN260">
        <f>SQRT(Table4[[#This Row],[diffPrimary]]^2+Table4[[#This Row],[diffSecondary]]^2)</f>
        <v>902.69928331297012</v>
      </c>
      <c r="AO260" s="2">
        <f>SQRT((2+(($AL$3+Table4[[#This Row],[Red2]])/2)/256)*($AL$3-Table4[[#This Row],[Red2]])^2 + 4*($AM$3-Table4[[#This Row],[Green2]])^2 + (2+(255-(($AL$3+Table4[[#This Row],[Red2]])/2))/256 )*($AN$3-Table4[[#This Row],[Blue2]])^2)</f>
        <v>374.23254802328461</v>
      </c>
      <c r="AP260" s="2">
        <f>SQRT((2+(($AO$3+Table4[[#This Row],[Red]])/2)/256)*($AO$3-Table4[[#This Row],[Red]])^2 + 4*($AP$3-Table4[[#This Row],[Green]])^2 + (2+(255-(($AO$3+Table4[[#This Row],[Red]])/2))/256 )*($AQ$3-Table4[[#This Row],[Blue]])^2)</f>
        <v>231.18924455275811</v>
      </c>
      <c r="AQ260" s="2">
        <f>SQRT(Table4[[#This Row],[diffPrimary2]]^2+Table4[[#This Row],[diffSecondary2]]^2)</f>
        <v>439.88460622858241</v>
      </c>
      <c r="AR260" s="786">
        <f>MIN(Table4[[#This Row],[MinOrig]],Table4[[#This Row],[MinSwap]])</f>
        <v>439.88460622858241</v>
      </c>
      <c r="AS260" s="2">
        <v>37.444464085162203</v>
      </c>
      <c r="AX260" s="4"/>
    </row>
    <row r="261" spans="1:50" x14ac:dyDescent="0.25">
      <c r="A261" t="s">
        <v>250</v>
      </c>
      <c r="B261">
        <v>134</v>
      </c>
      <c r="C261">
        <v>38</v>
      </c>
      <c r="D261">
        <v>51</v>
      </c>
      <c r="E261" s="366"/>
      <c r="F261">
        <v>255</v>
      </c>
      <c r="G261">
        <v>255</v>
      </c>
      <c r="H261">
        <v>255</v>
      </c>
      <c r="I261" s="3"/>
      <c r="M261" s="4"/>
      <c r="Q261" s="4"/>
      <c r="U261" s="4"/>
      <c r="Y261" s="4"/>
      <c r="Z261">
        <f t="shared" ref="Z261:Z324" si="42">ROUND(B261/255*$AA$2,0)*$AC$2/$AA$2</f>
        <v>127.5</v>
      </c>
      <c r="AA261">
        <f t="shared" ref="AA261:AA324" si="43">ROUND(C261/255*$AA$2,0)*$AC$2/$AA$2</f>
        <v>0</v>
      </c>
      <c r="AB261">
        <f t="shared" ref="AB261:AB324" si="44">ROUND(D261/255*$AA$2,0)*$AC$2/$AA$2</f>
        <v>0</v>
      </c>
      <c r="AC261" s="27"/>
      <c r="AD261">
        <f t="shared" ref="AD261:AD324" si="45">ROUND(F261/255*$AA$2,0)*$AC$2/$AA$2</f>
        <v>255</v>
      </c>
      <c r="AE261">
        <f t="shared" ref="AE261:AE324" si="46">ROUND(G261/255*$AA$2,0)*$AC$2/$AA$2</f>
        <v>255</v>
      </c>
      <c r="AF261">
        <f t="shared" ref="AF261:AF324" si="47">ROUND(H261/255*$AA$2,0)*$AC$2/$AA$2</f>
        <v>255</v>
      </c>
      <c r="AG261" s="3"/>
      <c r="AH261">
        <f t="shared" si="39"/>
        <v>0</v>
      </c>
      <c r="AI261">
        <f t="shared" si="40"/>
        <v>0</v>
      </c>
      <c r="AJ261">
        <f t="shared" si="41"/>
        <v>0</v>
      </c>
      <c r="AK261" s="4"/>
      <c r="AL261">
        <f>SQRT((2+(($AL$3+Table4[[#This Row],[Red]])/2)/256)*($AL$3-Table4[[#This Row],[Red]])^2 + 4*($AM$3-Table4[[#This Row],[Green]])^2 + (2+(255-(($AL$3+Table4[[#This Row],[Red]])/2))/256 )*($AN$3-Table4[[#This Row],[Blue]])^2)</f>
        <v>397.21331544744316</v>
      </c>
      <c r="AM261">
        <f>SQRT((2+(($AO$3+Table4[[#This Row],[Red2]])/2)/256)*($AO$3-Table4[[#This Row],[Red2]])^2 + 4*($AP$3-Table4[[#This Row],[Green2]])^2 + (2+(255-(($AO$3+Table4[[#This Row],[Red2]])/2))/256 )*($AQ$3-Table4[[#This Row],[Blue2]])^2)</f>
        <v>764.83396635724148</v>
      </c>
      <c r="AN261">
        <f>SQRT(Table4[[#This Row],[diffPrimary]]^2+Table4[[#This Row],[diffSecondary]]^2)</f>
        <v>861.82910954695649</v>
      </c>
      <c r="AO261" s="2">
        <f>SQRT((2+(($AL$3+Table4[[#This Row],[Red2]])/2)/256)*($AL$3-Table4[[#This Row],[Red2]])^2 + 4*($AM$3-Table4[[#This Row],[Green2]])^2 + (2+(255-(($AL$3+Table4[[#This Row],[Red2]])/2))/256 )*($AN$3-Table4[[#This Row],[Blue2]])^2)</f>
        <v>374.23254802328461</v>
      </c>
      <c r="AP261" s="2">
        <f>SQRT((2+(($AO$3+Table4[[#This Row],[Red]])/2)/256)*($AO$3-Table4[[#This Row],[Red]])^2 + 4*($AP$3-Table4[[#This Row],[Green]])^2 + (2+(255-(($AO$3+Table4[[#This Row],[Red]])/2))/256 )*($AQ$3-Table4[[#This Row],[Blue]])^2)</f>
        <v>231.29965683070088</v>
      </c>
      <c r="AQ261" s="2">
        <f>SQRT(Table4[[#This Row],[diffPrimary2]]^2+Table4[[#This Row],[diffSecondary2]]^2)</f>
        <v>439.94264540960341</v>
      </c>
      <c r="AR261" s="786">
        <f>MIN(Table4[[#This Row],[MinOrig]],Table4[[#This Row],[MinSwap]])</f>
        <v>439.94264540960341</v>
      </c>
      <c r="AS261" s="2">
        <v>37.846704570873797</v>
      </c>
      <c r="AX261" s="4"/>
    </row>
    <row r="262" spans="1:50" x14ac:dyDescent="0.25">
      <c r="A262" t="s">
        <v>256</v>
      </c>
      <c r="B262">
        <v>0</v>
      </c>
      <c r="C262">
        <v>32</v>
      </c>
      <c r="D262">
        <v>91</v>
      </c>
      <c r="E262" s="98"/>
      <c r="F262">
        <v>191</v>
      </c>
      <c r="G262">
        <v>13</v>
      </c>
      <c r="H262">
        <v>62</v>
      </c>
      <c r="I262" s="103"/>
      <c r="M262" s="4"/>
      <c r="Q262" s="4"/>
      <c r="U262" s="4"/>
      <c r="Y262" s="4"/>
      <c r="Z262">
        <f t="shared" si="42"/>
        <v>0</v>
      </c>
      <c r="AA262">
        <f t="shared" si="43"/>
        <v>0</v>
      </c>
      <c r="AB262">
        <f t="shared" si="44"/>
        <v>127.5</v>
      </c>
      <c r="AC262" s="26"/>
      <c r="AD262">
        <f t="shared" si="45"/>
        <v>127.5</v>
      </c>
      <c r="AE262">
        <f t="shared" si="46"/>
        <v>0</v>
      </c>
      <c r="AF262">
        <f t="shared" si="47"/>
        <v>0</v>
      </c>
      <c r="AG262" s="27"/>
      <c r="AH262">
        <f t="shared" si="39"/>
        <v>0</v>
      </c>
      <c r="AI262">
        <f t="shared" si="40"/>
        <v>0</v>
      </c>
      <c r="AJ262">
        <f t="shared" si="41"/>
        <v>0</v>
      </c>
      <c r="AK262" s="4"/>
      <c r="AL262">
        <f>SQRT((2+(($AL$3+Table4[[#This Row],[Red]])/2)/256)*($AL$3-Table4[[#This Row],[Red]])^2 + 4*($AM$3-Table4[[#This Row],[Green]])^2 + (2+(255-(($AL$3+Table4[[#This Row],[Red]])/2))/256 )*($AN$3-Table4[[#This Row],[Blue]])^2)</f>
        <v>550.3070272300273</v>
      </c>
      <c r="AM262">
        <f>SQRT((2+(($AO$3+Table4[[#This Row],[Red2]])/2)/256)*($AO$3-Table4[[#This Row],[Red2]])^2 + 4*($AP$3-Table4[[#This Row],[Green2]])^2 + (2+(255-(($AO$3+Table4[[#This Row],[Red2]])/2))/256 )*($AQ$3-Table4[[#This Row],[Blue2]])^2)</f>
        <v>311.97774797952337</v>
      </c>
      <c r="AN262">
        <f>SQRT(Table4[[#This Row],[diffPrimary]]^2+Table4[[#This Row],[diffSecondary]]^2)</f>
        <v>632.58828589622567</v>
      </c>
      <c r="AO262" s="2">
        <f>SQRT((2+(($AL$3+Table4[[#This Row],[Red2]])/2)/256)*($AL$3-Table4[[#This Row],[Red2]])^2 + 4*($AM$3-Table4[[#This Row],[Green2]])^2 + (2+(255-(($AL$3+Table4[[#This Row],[Red2]])/2))/256 )*($AN$3-Table4[[#This Row],[Blue2]])^2)</f>
        <v>409.12650855206141</v>
      </c>
      <c r="AP262" s="2">
        <f>SQRT((2+(($AO$3+Table4[[#This Row],[Red]])/2)/256)*($AO$3-Table4[[#This Row],[Red]])^2 + 4*($AP$3-Table4[[#This Row],[Green]])^2 + (2+(255-(($AO$3+Table4[[#This Row],[Red]])/2))/256 )*($AQ$3-Table4[[#This Row],[Blue]])^2)</f>
        <v>170.01956459110815</v>
      </c>
      <c r="AQ262" s="2">
        <f>SQRT(Table4[[#This Row],[diffPrimary2]]^2+Table4[[#This Row],[diffSecondary2]]^2)</f>
        <v>443.04757345430744</v>
      </c>
      <c r="AR262" s="786">
        <f>MIN(Table4[[#This Row],[MinOrig]],Table4[[#This Row],[MinSwap]])</f>
        <v>443.04757345430744</v>
      </c>
      <c r="AS262" s="2">
        <v>28.8332693580697</v>
      </c>
      <c r="AX262" s="4"/>
    </row>
    <row r="263" spans="1:50" x14ac:dyDescent="0.25">
      <c r="A263" t="s">
        <v>153</v>
      </c>
      <c r="B263">
        <v>0</v>
      </c>
      <c r="C263">
        <v>50</v>
      </c>
      <c r="D263">
        <v>99</v>
      </c>
      <c r="E263" s="357"/>
      <c r="F263">
        <v>176</v>
      </c>
      <c r="G263">
        <v>215</v>
      </c>
      <c r="H263">
        <v>255</v>
      </c>
      <c r="I263" s="358"/>
      <c r="J263">
        <v>171</v>
      </c>
      <c r="K263">
        <v>6</v>
      </c>
      <c r="L263">
        <v>52</v>
      </c>
      <c r="M263" s="359"/>
      <c r="N263">
        <v>144</v>
      </c>
      <c r="O263">
        <v>140</v>
      </c>
      <c r="P263">
        <v>137</v>
      </c>
      <c r="Q263" s="360"/>
      <c r="R263">
        <v>0</v>
      </c>
      <c r="S263">
        <v>0</v>
      </c>
      <c r="T263">
        <v>0</v>
      </c>
      <c r="U263" s="4"/>
      <c r="V263">
        <v>255</v>
      </c>
      <c r="W263">
        <v>255</v>
      </c>
      <c r="X263">
        <v>255</v>
      </c>
      <c r="Y263" s="3"/>
      <c r="Z263">
        <f t="shared" si="42"/>
        <v>0</v>
      </c>
      <c r="AA263">
        <f t="shared" si="43"/>
        <v>0</v>
      </c>
      <c r="AB263">
        <f t="shared" si="44"/>
        <v>127.5</v>
      </c>
      <c r="AC263" s="26"/>
      <c r="AD263">
        <f t="shared" si="45"/>
        <v>127.5</v>
      </c>
      <c r="AE263">
        <f t="shared" si="46"/>
        <v>255</v>
      </c>
      <c r="AF263">
        <f t="shared" si="47"/>
        <v>255</v>
      </c>
      <c r="AG263" s="35"/>
      <c r="AH263">
        <f t="shared" si="39"/>
        <v>127.5</v>
      </c>
      <c r="AI263">
        <f t="shared" si="40"/>
        <v>0</v>
      </c>
      <c r="AJ263">
        <f t="shared" si="41"/>
        <v>0</v>
      </c>
      <c r="AK263" s="27"/>
      <c r="AL263">
        <f>SQRT((2+(($AL$3+Table4[[#This Row],[Red]])/2)/256)*($AL$3-Table4[[#This Row],[Red]])^2 + 4*($AM$3-Table4[[#This Row],[Green]])^2 + (2+(255-(($AL$3+Table4[[#This Row],[Red]])/2))/256 )*($AN$3-Table4[[#This Row],[Blue]])^2)</f>
        <v>531.99516489226664</v>
      </c>
      <c r="AM263">
        <f>SQRT((2+(($AO$3+Table4[[#This Row],[Red2]])/2)/256)*($AO$3-Table4[[#This Row],[Red2]])^2 + 4*($AP$3-Table4[[#This Row],[Green2]])^2 + (2+(255-(($AO$3+Table4[[#This Row],[Red2]])/2))/256 )*($AQ$3-Table4[[#This Row],[Blue2]])^2)</f>
        <v>655.71994963074746</v>
      </c>
      <c r="AN263">
        <f>SQRT(Table4[[#This Row],[diffPrimary]]^2+Table4[[#This Row],[diffSecondary]]^2)</f>
        <v>844.38587613276673</v>
      </c>
      <c r="AO263" s="2">
        <f>SQRT((2+(($AL$3+Table4[[#This Row],[Red2]])/2)/256)*($AL$3-Table4[[#This Row],[Red2]])^2 + 4*($AM$3-Table4[[#This Row],[Green2]])^2 + (2+(255-(($AL$3+Table4[[#This Row],[Red2]])/2))/256 )*($AN$3-Table4[[#This Row],[Blue2]])^2)</f>
        <v>397.76727944081824</v>
      </c>
      <c r="AP263" s="2">
        <f>SQRT((2+(($AO$3+Table4[[#This Row],[Red]])/2)/256)*($AO$3-Table4[[#This Row],[Red]])^2 + 4*($AP$3-Table4[[#This Row],[Green]])^2 + (2+(255-(($AO$3+Table4[[#This Row],[Red]])/2))/256 )*($AQ$3-Table4[[#This Row],[Blue]])^2)</f>
        <v>198.4054304794856</v>
      </c>
      <c r="AQ263" s="2">
        <f>SQRT(Table4[[#This Row],[diffPrimary2]]^2+Table4[[#This Row],[diffSecondary2]]^2)</f>
        <v>444.50368214166684</v>
      </c>
      <c r="AR263" s="786">
        <f>MIN(Table4[[#This Row],[MinOrig]],Table4[[#This Row],[MinSwap]])</f>
        <v>444.50368214166684</v>
      </c>
      <c r="AS263" s="2">
        <v>53.281589075167403</v>
      </c>
      <c r="AX263" s="4"/>
    </row>
    <row r="264" spans="1:50" x14ac:dyDescent="0.25">
      <c r="A264" t="s">
        <v>448</v>
      </c>
      <c r="B264">
        <v>0</v>
      </c>
      <c r="C264">
        <v>154</v>
      </c>
      <c r="D264">
        <v>68</v>
      </c>
      <c r="E264" s="408"/>
      <c r="F264">
        <v>171</v>
      </c>
      <c r="G264">
        <v>174</v>
      </c>
      <c r="H264">
        <v>174</v>
      </c>
      <c r="I264" s="409"/>
      <c r="J264">
        <v>0</v>
      </c>
      <c r="K264">
        <v>0</v>
      </c>
      <c r="L264">
        <v>0</v>
      </c>
      <c r="M264" s="4"/>
      <c r="Q264" s="4"/>
      <c r="U264" s="4"/>
      <c r="Y264" s="4"/>
      <c r="Z264">
        <f t="shared" si="42"/>
        <v>0</v>
      </c>
      <c r="AA264">
        <f t="shared" si="43"/>
        <v>127.5</v>
      </c>
      <c r="AB264">
        <f t="shared" si="44"/>
        <v>127.5</v>
      </c>
      <c r="AC264" s="24"/>
      <c r="AD264">
        <f t="shared" si="45"/>
        <v>127.5</v>
      </c>
      <c r="AE264">
        <f t="shared" si="46"/>
        <v>127.5</v>
      </c>
      <c r="AF264">
        <f t="shared" si="47"/>
        <v>127.5</v>
      </c>
      <c r="AG264" s="32"/>
      <c r="AH264">
        <f t="shared" si="39"/>
        <v>0</v>
      </c>
      <c r="AI264">
        <f t="shared" si="40"/>
        <v>0</v>
      </c>
      <c r="AJ264">
        <f t="shared" si="41"/>
        <v>0</v>
      </c>
      <c r="AK264" s="4"/>
      <c r="AL264">
        <f>SQRT((2+(($AL$3+Table4[[#This Row],[Red]])/2)/256)*($AL$3-Table4[[#This Row],[Red]])^2 + 4*($AM$3-Table4[[#This Row],[Green]])^2 + (2+(255-(($AL$3+Table4[[#This Row],[Red]])/2))/256 )*($AN$3-Table4[[#This Row],[Blue]])^2)</f>
        <v>429.40711078983662</v>
      </c>
      <c r="AM264">
        <f>SQRT((2+(($AO$3+Table4[[#This Row],[Red2]])/2)/256)*($AO$3-Table4[[#This Row],[Red2]])^2 + 4*($AP$3-Table4[[#This Row],[Green2]])^2 + (2+(255-(($AO$3+Table4[[#This Row],[Red2]])/2))/256 )*($AQ$3-Table4[[#This Row],[Blue2]])^2)</f>
        <v>519.56718578724258</v>
      </c>
      <c r="AN264">
        <f>SQRT(Table4[[#This Row],[diffPrimary]]^2+Table4[[#This Row],[diffSecondary]]^2)</f>
        <v>674.04786724961161</v>
      </c>
      <c r="AO264" s="2">
        <f>SQRT((2+(($AL$3+Table4[[#This Row],[Red2]])/2)/256)*($AL$3-Table4[[#This Row],[Red2]])^2 + 4*($AM$3-Table4[[#This Row],[Green2]])^2 + (2+(255-(($AL$3+Table4[[#This Row],[Red2]])/2))/256 )*($AN$3-Table4[[#This Row],[Blue2]])^2)</f>
        <v>298.90796033227355</v>
      </c>
      <c r="AP264" s="2">
        <f>SQRT((2+(($AO$3+Table4[[#This Row],[Red]])/2)/256)*($AO$3-Table4[[#This Row],[Red]])^2 + 4*($AP$3-Table4[[#This Row],[Green]])^2 + (2+(255-(($AO$3+Table4[[#This Row],[Red]])/2))/256 )*($AQ$3-Table4[[#This Row],[Blue]])^2)</f>
        <v>329.72403233613409</v>
      </c>
      <c r="AQ264" s="2">
        <f>SQRT(Table4[[#This Row],[diffPrimary2]]^2+Table4[[#This Row],[diffSecondary2]]^2)</f>
        <v>445.04371274067</v>
      </c>
      <c r="AR264" s="786">
        <f>MIN(Table4[[#This Row],[MinOrig]],Table4[[#This Row],[MinSwap]])</f>
        <v>445.04371274067</v>
      </c>
      <c r="AS264" s="2">
        <v>49.446585764337698</v>
      </c>
      <c r="AX264" s="4"/>
    </row>
    <row r="265" spans="1:50" x14ac:dyDescent="0.25">
      <c r="A265" t="s">
        <v>192</v>
      </c>
      <c r="B265">
        <v>174</v>
      </c>
      <c r="C265">
        <v>19</v>
      </c>
      <c r="D265">
        <v>42</v>
      </c>
      <c r="E265" s="394"/>
      <c r="F265">
        <v>114</v>
      </c>
      <c r="G265">
        <v>128</v>
      </c>
      <c r="H265">
        <v>138</v>
      </c>
      <c r="I265" s="395"/>
      <c r="J265">
        <v>255</v>
      </c>
      <c r="K265">
        <v>255</v>
      </c>
      <c r="L265">
        <v>255</v>
      </c>
      <c r="M265" s="3"/>
      <c r="N265">
        <v>0</v>
      </c>
      <c r="O265">
        <v>0</v>
      </c>
      <c r="P265">
        <v>0</v>
      </c>
      <c r="Q265" s="4"/>
      <c r="U265" s="4"/>
      <c r="Y265" s="4"/>
      <c r="Z265">
        <f t="shared" si="42"/>
        <v>127.5</v>
      </c>
      <c r="AA265">
        <f t="shared" si="43"/>
        <v>0</v>
      </c>
      <c r="AB265">
        <f t="shared" si="44"/>
        <v>0</v>
      </c>
      <c r="AC265" s="27"/>
      <c r="AD265">
        <f t="shared" si="45"/>
        <v>127.5</v>
      </c>
      <c r="AE265">
        <f t="shared" si="46"/>
        <v>127.5</v>
      </c>
      <c r="AF265">
        <f t="shared" si="47"/>
        <v>127.5</v>
      </c>
      <c r="AG265" s="32"/>
      <c r="AH265">
        <f t="shared" si="39"/>
        <v>255</v>
      </c>
      <c r="AI265">
        <f t="shared" si="40"/>
        <v>255</v>
      </c>
      <c r="AJ265">
        <f t="shared" si="41"/>
        <v>255</v>
      </c>
      <c r="AK265" s="3"/>
      <c r="AL265">
        <f>SQRT((2+(($AL$3+Table4[[#This Row],[Red]])/2)/256)*($AL$3-Table4[[#This Row],[Red]])^2 + 4*($AM$3-Table4[[#This Row],[Green]])^2 + (2+(255-(($AL$3+Table4[[#This Row],[Red]])/2))/256 )*($AN$3-Table4[[#This Row],[Blue]])^2)</f>
        <v>401.01180868289276</v>
      </c>
      <c r="AM265">
        <f>SQRT((2+(($AO$3+Table4[[#This Row],[Red2]])/2)/256)*($AO$3-Table4[[#This Row],[Red2]])^2 + 4*($AP$3-Table4[[#This Row],[Green2]])^2 + (2+(255-(($AO$3+Table4[[#This Row],[Red2]])/2))/256 )*($AQ$3-Table4[[#This Row],[Blue2]])^2)</f>
        <v>383.71732352735916</v>
      </c>
      <c r="AN265">
        <f>SQRT(Table4[[#This Row],[diffPrimary]]^2+Table4[[#This Row],[diffSecondary]]^2)</f>
        <v>555.02203116464216</v>
      </c>
      <c r="AO265" s="2">
        <f>SQRT((2+(($AL$3+Table4[[#This Row],[Red2]])/2)/256)*($AL$3-Table4[[#This Row],[Red2]])^2 + 4*($AM$3-Table4[[#This Row],[Green2]])^2 + (2+(255-(($AL$3+Table4[[#This Row],[Red2]])/2))/256 )*($AN$3-Table4[[#This Row],[Blue2]])^2)</f>
        <v>348.05005084129061</v>
      </c>
      <c r="AP265" s="2">
        <f>SQRT((2+(($AO$3+Table4[[#This Row],[Red]])/2)/256)*($AO$3-Table4[[#This Row],[Red]])^2 + 4*($AP$3-Table4[[#This Row],[Green]])^2 + (2+(255-(($AO$3+Table4[[#This Row],[Red]])/2))/256 )*($AQ$3-Table4[[#This Row],[Blue]])^2)</f>
        <v>277.43600050281867</v>
      </c>
      <c r="AQ265" s="2">
        <f>SQRT(Table4[[#This Row],[diffPrimary2]]^2+Table4[[#This Row],[diffSecondary2]]^2)</f>
        <v>445.09501487393118</v>
      </c>
      <c r="AR265" s="786">
        <f>MIN(Table4[[#This Row],[MinOrig]],Table4[[#This Row],[MinSwap]])</f>
        <v>445.09501487393118</v>
      </c>
      <c r="AS265" s="2">
        <v>46.703728772443903</v>
      </c>
      <c r="AX265" s="4"/>
    </row>
    <row r="266" spans="1:50" x14ac:dyDescent="0.25">
      <c r="A266" t="s">
        <v>173</v>
      </c>
      <c r="B266">
        <v>0</v>
      </c>
      <c r="C266">
        <v>112</v>
      </c>
      <c r="D266">
        <v>60</v>
      </c>
      <c r="E266" s="327"/>
      <c r="F266">
        <v>229</v>
      </c>
      <c r="G266">
        <v>25</v>
      </c>
      <c r="H266">
        <v>55</v>
      </c>
      <c r="I266" s="20"/>
      <c r="J266">
        <v>0</v>
      </c>
      <c r="K266">
        <v>0</v>
      </c>
      <c r="L266">
        <v>0</v>
      </c>
      <c r="M266" s="4"/>
      <c r="Q266" s="4"/>
      <c r="U266" s="4"/>
      <c r="Y266" s="4"/>
      <c r="Z266">
        <f t="shared" si="42"/>
        <v>0</v>
      </c>
      <c r="AA266">
        <f t="shared" si="43"/>
        <v>127.5</v>
      </c>
      <c r="AB266">
        <f t="shared" si="44"/>
        <v>0</v>
      </c>
      <c r="AC266" s="34"/>
      <c r="AD266">
        <f t="shared" si="45"/>
        <v>255</v>
      </c>
      <c r="AE266">
        <f t="shared" si="46"/>
        <v>0</v>
      </c>
      <c r="AF266">
        <f t="shared" si="47"/>
        <v>0</v>
      </c>
      <c r="AG266" s="5"/>
      <c r="AH266">
        <f t="shared" si="39"/>
        <v>0</v>
      </c>
      <c r="AI266">
        <f t="shared" si="40"/>
        <v>0</v>
      </c>
      <c r="AJ266">
        <f t="shared" si="41"/>
        <v>0</v>
      </c>
      <c r="AK266" s="4"/>
      <c r="AL266">
        <f>SQRT((2+(($AL$3+Table4[[#This Row],[Red]])/2)/256)*($AL$3-Table4[[#This Row],[Red]])^2 + 4*($AM$3-Table4[[#This Row],[Green]])^2 + (2+(255-(($AL$3+Table4[[#This Row],[Red]])/2))/256 )*($AN$3-Table4[[#This Row],[Blue]])^2)</f>
        <v>453.89918131329011</v>
      </c>
      <c r="AM266">
        <f>SQRT((2+(($AO$3+Table4[[#This Row],[Red2]])/2)/256)*($AO$3-Table4[[#This Row],[Red2]])^2 + 4*($AP$3-Table4[[#This Row],[Green2]])^2 + (2+(255-(($AO$3+Table4[[#This Row],[Red2]])/2))/256 )*($AQ$3-Table4[[#This Row],[Blue2]])^2)</f>
        <v>372.21937311046827</v>
      </c>
      <c r="AN266">
        <f>SQRT(Table4[[#This Row],[diffPrimary]]^2+Table4[[#This Row],[diffSecondary]]^2)</f>
        <v>587.00232411433001</v>
      </c>
      <c r="AO266" s="2">
        <f>SQRT((2+(($AL$3+Table4[[#This Row],[Red2]])/2)/256)*($AL$3-Table4[[#This Row],[Red2]])^2 + 4*($AM$3-Table4[[#This Row],[Green2]])^2 + (2+(255-(($AL$3+Table4[[#This Row],[Red2]])/2))/256 )*($AN$3-Table4[[#This Row],[Blue2]])^2)</f>
        <v>371.20701034766302</v>
      </c>
      <c r="AP266" s="2">
        <f>SQRT((2+(($AO$3+Table4[[#This Row],[Red]])/2)/256)*($AO$3-Table4[[#This Row],[Red]])^2 + 4*($AP$3-Table4[[#This Row],[Green]])^2 + (2+(255-(($AO$3+Table4[[#This Row],[Red]])/2))/256 )*($AQ$3-Table4[[#This Row],[Blue]])^2)</f>
        <v>246.90471340174938</v>
      </c>
      <c r="AQ266" s="2">
        <f>SQRT(Table4[[#This Row],[diffPrimary2]]^2+Table4[[#This Row],[diffSecondary2]]^2)</f>
        <v>445.82124448174295</v>
      </c>
      <c r="AR266" s="786">
        <f>MIN(Table4[[#This Row],[MinOrig]],Table4[[#This Row],[MinSwap]])</f>
        <v>445.82124448174295</v>
      </c>
      <c r="AS266" s="2">
        <v>123.675972176288</v>
      </c>
      <c r="AX266" s="4"/>
    </row>
    <row r="267" spans="1:50" x14ac:dyDescent="0.25">
      <c r="A267" t="s">
        <v>258</v>
      </c>
      <c r="B267">
        <v>134</v>
      </c>
      <c r="C267">
        <v>38</v>
      </c>
      <c r="D267">
        <v>51</v>
      </c>
      <c r="E267" s="366"/>
      <c r="F267">
        <v>0</v>
      </c>
      <c r="G267">
        <v>26</v>
      </c>
      <c r="H267">
        <v>114</v>
      </c>
      <c r="I267" s="487"/>
      <c r="J267">
        <v>0</v>
      </c>
      <c r="K267">
        <v>0</v>
      </c>
      <c r="L267">
        <v>0</v>
      </c>
      <c r="M267" s="4"/>
      <c r="Q267" s="4"/>
      <c r="U267" s="4"/>
      <c r="Y267" s="4"/>
      <c r="Z267">
        <f t="shared" si="42"/>
        <v>127.5</v>
      </c>
      <c r="AA267">
        <f t="shared" si="43"/>
        <v>0</v>
      </c>
      <c r="AB267">
        <f t="shared" si="44"/>
        <v>0</v>
      </c>
      <c r="AC267" s="27"/>
      <c r="AD267">
        <f t="shared" si="45"/>
        <v>0</v>
      </c>
      <c r="AE267">
        <f t="shared" si="46"/>
        <v>0</v>
      </c>
      <c r="AF267">
        <f t="shared" si="47"/>
        <v>127.5</v>
      </c>
      <c r="AG267" s="26"/>
      <c r="AH267">
        <f t="shared" si="39"/>
        <v>0</v>
      </c>
      <c r="AI267">
        <f t="shared" si="40"/>
        <v>0</v>
      </c>
      <c r="AJ267">
        <f t="shared" si="41"/>
        <v>0</v>
      </c>
      <c r="AK267" s="4"/>
      <c r="AL267">
        <f>SQRT((2+(($AL$3+Table4[[#This Row],[Red]])/2)/256)*($AL$3-Table4[[#This Row],[Red]])^2 + 4*($AM$3-Table4[[#This Row],[Green]])^2 + (2+(255-(($AL$3+Table4[[#This Row],[Red]])/2))/256 )*($AN$3-Table4[[#This Row],[Blue]])^2)</f>
        <v>397.21331544744316</v>
      </c>
      <c r="AM267">
        <f>SQRT((2+(($AO$3+Table4[[#This Row],[Red2]])/2)/256)*($AO$3-Table4[[#This Row],[Red2]])^2 + 4*($AP$3-Table4[[#This Row],[Green2]])^2 + (2+(255-(($AO$3+Table4[[#This Row],[Red2]])/2))/256 )*($AQ$3-Table4[[#This Row],[Blue2]])^2)</f>
        <v>204.06183958545506</v>
      </c>
      <c r="AN267">
        <f>SQRT(Table4[[#This Row],[diffPrimary]]^2+Table4[[#This Row],[diffSecondary]]^2)</f>
        <v>446.56427571375434</v>
      </c>
      <c r="AO267" s="2">
        <f>SQRT((2+(($AL$3+Table4[[#This Row],[Red2]])/2)/256)*($AL$3-Table4[[#This Row],[Red2]])^2 + 4*($AM$3-Table4[[#This Row],[Green2]])^2 + (2+(255-(($AL$3+Table4[[#This Row],[Red2]])/2))/256 )*($AN$3-Table4[[#This Row],[Blue2]])^2)</f>
        <v>568.38729334352206</v>
      </c>
      <c r="AP267" s="2">
        <f>SQRT((2+(($AO$3+Table4[[#This Row],[Red]])/2)/256)*($AO$3-Table4[[#This Row],[Red]])^2 + 4*($AP$3-Table4[[#This Row],[Green]])^2 + (2+(255-(($AO$3+Table4[[#This Row],[Red]])/2))/256 )*($AQ$3-Table4[[#This Row],[Blue]])^2)</f>
        <v>231.29965683070088</v>
      </c>
      <c r="AQ267" s="2">
        <f>SQRT(Table4[[#This Row],[diffPrimary2]]^2+Table4[[#This Row],[diffSecondary2]]^2)</f>
        <v>613.64781958740389</v>
      </c>
      <c r="AR267" s="786">
        <f>MIN(Table4[[#This Row],[MinOrig]],Table4[[#This Row],[MinSwap]])</f>
        <v>446.56427571375434</v>
      </c>
      <c r="AS267" s="2">
        <v>85.629767203058506</v>
      </c>
      <c r="AX267" s="4"/>
    </row>
    <row r="268" spans="1:50" x14ac:dyDescent="0.25">
      <c r="A268" t="s">
        <v>84</v>
      </c>
      <c r="B268">
        <v>40</v>
      </c>
      <c r="C268">
        <v>51</v>
      </c>
      <c r="D268">
        <v>74</v>
      </c>
      <c r="E268" s="236"/>
      <c r="F268">
        <v>114</v>
      </c>
      <c r="G268">
        <v>41</v>
      </c>
      <c r="H268">
        <v>60</v>
      </c>
      <c r="I268" s="237"/>
      <c r="M268" s="4"/>
      <c r="Q268" s="4"/>
      <c r="U268" s="4"/>
      <c r="Y268" s="4"/>
      <c r="Z268">
        <f t="shared" si="42"/>
        <v>0</v>
      </c>
      <c r="AA268">
        <f t="shared" si="43"/>
        <v>0</v>
      </c>
      <c r="AB268">
        <f t="shared" si="44"/>
        <v>127.5</v>
      </c>
      <c r="AC268" s="26"/>
      <c r="AD268">
        <f t="shared" si="45"/>
        <v>127.5</v>
      </c>
      <c r="AE268">
        <f t="shared" si="46"/>
        <v>0</v>
      </c>
      <c r="AF268">
        <f t="shared" si="47"/>
        <v>0</v>
      </c>
      <c r="AG268" s="27"/>
      <c r="AH268">
        <f t="shared" si="39"/>
        <v>0</v>
      </c>
      <c r="AI268">
        <f t="shared" si="40"/>
        <v>0</v>
      </c>
      <c r="AJ268">
        <f t="shared" si="41"/>
        <v>0</v>
      </c>
      <c r="AK268" s="4"/>
      <c r="AL268">
        <f>SQRT((2+(($AL$3+Table4[[#This Row],[Red]])/2)/256)*($AL$3-Table4[[#This Row],[Red]])^2 + 4*($AM$3-Table4[[#This Row],[Green]])^2 + (2+(255-(($AL$3+Table4[[#This Row],[Red]])/2))/256 )*($AN$3-Table4[[#This Row],[Blue]])^2)</f>
        <v>476.65400146162102</v>
      </c>
      <c r="AM268">
        <f>SQRT((2+(($AO$3+Table4[[#This Row],[Red2]])/2)/256)*($AO$3-Table4[[#This Row],[Red2]])^2 + 4*($AP$3-Table4[[#This Row],[Green2]])^2 + (2+(255-(($AO$3+Table4[[#This Row],[Red2]])/2))/256 )*($AQ$3-Table4[[#This Row],[Blue2]])^2)</f>
        <v>213.52755237907823</v>
      </c>
      <c r="AN268">
        <f>SQRT(Table4[[#This Row],[diffPrimary]]^2+Table4[[#This Row],[diffSecondary]]^2)</f>
        <v>522.29594363193655</v>
      </c>
      <c r="AO268" s="2">
        <f>SQRT((2+(($AL$3+Table4[[#This Row],[Red2]])/2)/256)*($AL$3-Table4[[#This Row],[Red2]])^2 + 4*($AM$3-Table4[[#This Row],[Green2]])^2 + (2+(255-(($AL$3+Table4[[#This Row],[Red2]])/2))/256 )*($AN$3-Table4[[#This Row],[Blue2]])^2)</f>
        <v>412.14767387202977</v>
      </c>
      <c r="AP268" s="2">
        <f>SQRT((2+(($AO$3+Table4[[#This Row],[Red]])/2)/256)*($AO$3-Table4[[#This Row],[Red]])^2 + 4*($AP$3-Table4[[#This Row],[Green]])^2 + (2+(255-(($AO$3+Table4[[#This Row],[Red]])/2))/256 )*($AQ$3-Table4[[#This Row],[Blue]])^2)</f>
        <v>172.35949894044134</v>
      </c>
      <c r="AQ268" s="2">
        <f>SQRT(Table4[[#This Row],[diffPrimary2]]^2+Table4[[#This Row],[diffSecondary2]]^2)</f>
        <v>446.73650170220589</v>
      </c>
      <c r="AR268" s="786">
        <f>MIN(Table4[[#This Row],[MinOrig]],Table4[[#This Row],[MinSwap]])</f>
        <v>446.73650170220589</v>
      </c>
      <c r="AS268" s="2">
        <v>86.561123635267094</v>
      </c>
      <c r="AX268" s="4"/>
    </row>
    <row r="269" spans="1:50" x14ac:dyDescent="0.25">
      <c r="A269" t="s">
        <v>154</v>
      </c>
      <c r="B269">
        <v>0</v>
      </c>
      <c r="C269">
        <v>112</v>
      </c>
      <c r="D269">
        <v>60</v>
      </c>
      <c r="E269" s="327"/>
      <c r="F269">
        <v>255</v>
      </c>
      <c r="G269">
        <v>255</v>
      </c>
      <c r="H269">
        <v>255</v>
      </c>
      <c r="I269" s="3"/>
      <c r="M269" s="4"/>
      <c r="Q269" s="4"/>
      <c r="U269" s="4"/>
      <c r="Y269" s="4"/>
      <c r="Z269">
        <f t="shared" si="42"/>
        <v>0</v>
      </c>
      <c r="AA269">
        <f t="shared" si="43"/>
        <v>127.5</v>
      </c>
      <c r="AB269">
        <f t="shared" si="44"/>
        <v>0</v>
      </c>
      <c r="AC269" s="34"/>
      <c r="AD269">
        <f t="shared" si="45"/>
        <v>255</v>
      </c>
      <c r="AE269">
        <f t="shared" si="46"/>
        <v>255</v>
      </c>
      <c r="AF269">
        <f t="shared" si="47"/>
        <v>255</v>
      </c>
      <c r="AG269" s="3"/>
      <c r="AH269">
        <f t="shared" si="39"/>
        <v>0</v>
      </c>
      <c r="AI269">
        <f t="shared" si="40"/>
        <v>0</v>
      </c>
      <c r="AJ269">
        <f t="shared" si="41"/>
        <v>0</v>
      </c>
      <c r="AK269" s="4"/>
      <c r="AL269">
        <f>SQRT((2+(($AL$3+Table4[[#This Row],[Red]])/2)/256)*($AL$3-Table4[[#This Row],[Red]])^2 + 4*($AM$3-Table4[[#This Row],[Green]])^2 + (2+(255-(($AL$3+Table4[[#This Row],[Red]])/2))/256 )*($AN$3-Table4[[#This Row],[Blue]])^2)</f>
        <v>453.89918131329011</v>
      </c>
      <c r="AM269">
        <f>SQRT((2+(($AO$3+Table4[[#This Row],[Red2]])/2)/256)*($AO$3-Table4[[#This Row],[Red2]])^2 + 4*($AP$3-Table4[[#This Row],[Green2]])^2 + (2+(255-(($AO$3+Table4[[#This Row],[Red2]])/2))/256 )*($AQ$3-Table4[[#This Row],[Blue2]])^2)</f>
        <v>764.83396635724148</v>
      </c>
      <c r="AN269">
        <f>SQRT(Table4[[#This Row],[diffPrimary]]^2+Table4[[#This Row],[diffSecondary]]^2)</f>
        <v>889.37925706113981</v>
      </c>
      <c r="AO269" s="2">
        <f>SQRT((2+(($AL$3+Table4[[#This Row],[Red2]])/2)/256)*($AL$3-Table4[[#This Row],[Red2]])^2 + 4*($AM$3-Table4[[#This Row],[Green2]])^2 + (2+(255-(($AL$3+Table4[[#This Row],[Red2]])/2))/256 )*($AN$3-Table4[[#This Row],[Blue2]])^2)</f>
        <v>374.23254802328461</v>
      </c>
      <c r="AP269" s="2">
        <f>SQRT((2+(($AO$3+Table4[[#This Row],[Red]])/2)/256)*($AO$3-Table4[[#This Row],[Red]])^2 + 4*($AP$3-Table4[[#This Row],[Green]])^2 + (2+(255-(($AO$3+Table4[[#This Row],[Red]])/2))/256 )*($AQ$3-Table4[[#This Row],[Blue]])^2)</f>
        <v>246.90471340174938</v>
      </c>
      <c r="AQ269" s="2">
        <f>SQRT(Table4[[#This Row],[diffPrimary2]]^2+Table4[[#This Row],[diffSecondary2]]^2)</f>
        <v>448.34354852055139</v>
      </c>
      <c r="AR269" s="786">
        <f>MIN(Table4[[#This Row],[MinOrig]],Table4[[#This Row],[MinSwap]])</f>
        <v>448.34354852055139</v>
      </c>
      <c r="AS269" s="2">
        <v>88.392380274687696</v>
      </c>
      <c r="AX269" s="4"/>
    </row>
    <row r="270" spans="1:50" x14ac:dyDescent="0.25">
      <c r="A270" t="s">
        <v>326</v>
      </c>
      <c r="B270">
        <v>152</v>
      </c>
      <c r="C270">
        <v>30</v>
      </c>
      <c r="D270">
        <v>50</v>
      </c>
      <c r="E270" s="459"/>
      <c r="F270">
        <v>94</v>
      </c>
      <c r="G270">
        <v>106</v>
      </c>
      <c r="H270">
        <v>113</v>
      </c>
      <c r="I270" s="445"/>
      <c r="M270" s="4"/>
      <c r="Q270" s="4"/>
      <c r="U270" s="4"/>
      <c r="Y270" s="4"/>
      <c r="Z270">
        <f t="shared" si="42"/>
        <v>127.5</v>
      </c>
      <c r="AA270">
        <f t="shared" si="43"/>
        <v>0</v>
      </c>
      <c r="AB270">
        <f t="shared" si="44"/>
        <v>0</v>
      </c>
      <c r="AC270" s="27"/>
      <c r="AD270">
        <f t="shared" si="45"/>
        <v>127.5</v>
      </c>
      <c r="AE270">
        <f t="shared" si="46"/>
        <v>127.5</v>
      </c>
      <c r="AF270">
        <f t="shared" si="47"/>
        <v>127.5</v>
      </c>
      <c r="AG270" s="32"/>
      <c r="AH270">
        <f t="shared" si="39"/>
        <v>0</v>
      </c>
      <c r="AI270">
        <f t="shared" si="40"/>
        <v>0</v>
      </c>
      <c r="AJ270">
        <f t="shared" si="41"/>
        <v>0</v>
      </c>
      <c r="AK270" s="4"/>
      <c r="AL270">
        <f>SQRT((2+(($AL$3+Table4[[#This Row],[Red]])/2)/256)*($AL$3-Table4[[#This Row],[Red]])^2 + 4*($AM$3-Table4[[#This Row],[Green]])^2 + (2+(255-(($AL$3+Table4[[#This Row],[Red]])/2))/256 )*($AN$3-Table4[[#This Row],[Blue]])^2)</f>
        <v>397.05699321303359</v>
      </c>
      <c r="AM270">
        <f>SQRT((2+(($AO$3+Table4[[#This Row],[Red2]])/2)/256)*($AO$3-Table4[[#This Row],[Red2]])^2 + 4*($AP$3-Table4[[#This Row],[Green2]])^2 + (2+(255-(($AO$3+Table4[[#This Row],[Red2]])/2))/256 )*($AQ$3-Table4[[#This Row],[Blue2]])^2)</f>
        <v>316.46650197927744</v>
      </c>
      <c r="AN270">
        <f>SQRT(Table4[[#This Row],[diffPrimary]]^2+Table4[[#This Row],[diffSecondary]]^2)</f>
        <v>507.7453128630288</v>
      </c>
      <c r="AO270" s="2">
        <f>SQRT((2+(($AL$3+Table4[[#This Row],[Red2]])/2)/256)*($AL$3-Table4[[#This Row],[Red2]])^2 + 4*($AM$3-Table4[[#This Row],[Green2]])^2 + (2+(255-(($AL$3+Table4[[#This Row],[Red2]])/2))/256 )*($AN$3-Table4[[#This Row],[Blue2]])^2)</f>
        <v>371.84413212225093</v>
      </c>
      <c r="AP270" s="2">
        <f>SQRT((2+(($AO$3+Table4[[#This Row],[Red]])/2)/256)*($AO$3-Table4[[#This Row],[Red]])^2 + 4*($AP$3-Table4[[#This Row],[Green]])^2 + (2+(255-(($AO$3+Table4[[#This Row],[Red]])/2))/256 )*($AQ$3-Table4[[#This Row],[Blue]])^2)</f>
        <v>251.82344385501523</v>
      </c>
      <c r="AQ270" s="2">
        <f>SQRT(Table4[[#This Row],[diffPrimary2]]^2+Table4[[#This Row],[diffSecondary2]]^2)</f>
        <v>449.09142217231226</v>
      </c>
      <c r="AR270" s="786">
        <f>MIN(Table4[[#This Row],[MinOrig]],Table4[[#This Row],[MinSwap]])</f>
        <v>449.09142217231226</v>
      </c>
      <c r="AS270" s="2">
        <v>23.9150514843686</v>
      </c>
      <c r="AX270" s="4"/>
    </row>
    <row r="271" spans="1:50" x14ac:dyDescent="0.25">
      <c r="A271" t="s">
        <v>297</v>
      </c>
      <c r="B271">
        <v>0</v>
      </c>
      <c r="C271">
        <v>45</v>
      </c>
      <c r="D271">
        <v>114</v>
      </c>
      <c r="E271" s="218"/>
      <c r="F271">
        <v>200</v>
      </c>
      <c r="G271">
        <v>16</v>
      </c>
      <c r="H271">
        <v>46</v>
      </c>
      <c r="I271" s="97"/>
      <c r="J271">
        <v>197</v>
      </c>
      <c r="K271">
        <v>183</v>
      </c>
      <c r="L271">
        <v>131</v>
      </c>
      <c r="M271" s="158"/>
      <c r="N271">
        <v>243</v>
      </c>
      <c r="O271">
        <v>213</v>
      </c>
      <c r="P271">
        <v>78</v>
      </c>
      <c r="Q271" s="552"/>
      <c r="R271">
        <v>132</v>
      </c>
      <c r="S271">
        <v>117</v>
      </c>
      <c r="T271">
        <v>78</v>
      </c>
      <c r="U271" s="511"/>
      <c r="Y271" s="4"/>
      <c r="Z271">
        <f t="shared" si="42"/>
        <v>0</v>
      </c>
      <c r="AA271">
        <f t="shared" si="43"/>
        <v>0</v>
      </c>
      <c r="AB271">
        <f t="shared" si="44"/>
        <v>127.5</v>
      </c>
      <c r="AC271" s="26"/>
      <c r="AD271">
        <f t="shared" si="45"/>
        <v>255</v>
      </c>
      <c r="AE271">
        <f t="shared" si="46"/>
        <v>0</v>
      </c>
      <c r="AF271">
        <f t="shared" si="47"/>
        <v>0</v>
      </c>
      <c r="AG271" s="5"/>
      <c r="AH271">
        <f t="shared" si="39"/>
        <v>255</v>
      </c>
      <c r="AI271">
        <f t="shared" si="40"/>
        <v>127.5</v>
      </c>
      <c r="AJ271">
        <f t="shared" si="41"/>
        <v>127.5</v>
      </c>
      <c r="AK271" s="25"/>
      <c r="AL271">
        <f>SQRT((2+(($AL$3+Table4[[#This Row],[Red]])/2)/256)*($AL$3-Table4[[#This Row],[Red]])^2 + 4*($AM$3-Table4[[#This Row],[Green]])^2 + (2+(255-(($AL$3+Table4[[#This Row],[Red]])/2))/256 )*($AN$3-Table4[[#This Row],[Blue]])^2)</f>
        <v>545.2523408793171</v>
      </c>
      <c r="AM271">
        <f>SQRT((2+(($AO$3+Table4[[#This Row],[Red2]])/2)/256)*($AO$3-Table4[[#This Row],[Red2]])^2 + 4*($AP$3-Table4[[#This Row],[Green2]])^2 + (2+(255-(($AO$3+Table4[[#This Row],[Red2]])/2))/256 )*($AQ$3-Table4[[#This Row],[Blue2]])^2)</f>
        <v>319.62817753602388</v>
      </c>
      <c r="AN271">
        <f>SQRT(Table4[[#This Row],[diffPrimary]]^2+Table4[[#This Row],[diffSecondary]]^2)</f>
        <v>632.03028970878836</v>
      </c>
      <c r="AO271" s="2">
        <f>SQRT((2+(($AL$3+Table4[[#This Row],[Red2]])/2)/256)*($AL$3-Table4[[#This Row],[Red2]])^2 + 4*($AM$3-Table4[[#This Row],[Green2]])^2 + (2+(255-(($AL$3+Table4[[#This Row],[Red2]])/2))/256 )*($AN$3-Table4[[#This Row],[Blue2]])^2)</f>
        <v>395.07155947926066</v>
      </c>
      <c r="AP271" s="2">
        <f>SQRT((2+(($AO$3+Table4[[#This Row],[Red]])/2)/256)*($AO$3-Table4[[#This Row],[Red]])^2 + 4*($AP$3-Table4[[#This Row],[Green]])^2 + (2+(255-(($AO$3+Table4[[#This Row],[Red]])/2))/256 )*($AQ$3-Table4[[#This Row],[Blue]])^2)</f>
        <v>216.88069156796786</v>
      </c>
      <c r="AQ271" s="2">
        <f>SQRT(Table4[[#This Row],[diffPrimary2]]^2+Table4[[#This Row],[diffSecondary2]]^2)</f>
        <v>450.68699946234858</v>
      </c>
      <c r="AR271" s="786">
        <f>MIN(Table4[[#This Row],[MinOrig]],Table4[[#This Row],[MinSwap]])</f>
        <v>450.68699946234858</v>
      </c>
      <c r="AS271" s="2">
        <v>28.9182576411512</v>
      </c>
      <c r="AX271" s="4"/>
    </row>
    <row r="272" spans="1:50" x14ac:dyDescent="0.25">
      <c r="A272" t="s">
        <v>38</v>
      </c>
      <c r="B272">
        <v>207</v>
      </c>
      <c r="C272">
        <v>10</v>
      </c>
      <c r="D272">
        <v>44</v>
      </c>
      <c r="E272" s="191"/>
      <c r="F272">
        <v>195</v>
      </c>
      <c r="G272">
        <v>197</v>
      </c>
      <c r="H272">
        <v>200</v>
      </c>
      <c r="I272" s="192"/>
      <c r="J272">
        <v>0</v>
      </c>
      <c r="K272">
        <v>0</v>
      </c>
      <c r="L272">
        <v>0</v>
      </c>
      <c r="M272" s="4"/>
      <c r="Q272" s="4"/>
      <c r="U272" s="4"/>
      <c r="Y272" s="4"/>
      <c r="Z272">
        <f t="shared" si="42"/>
        <v>255</v>
      </c>
      <c r="AA272">
        <f t="shared" si="43"/>
        <v>0</v>
      </c>
      <c r="AB272">
        <f t="shared" si="44"/>
        <v>0</v>
      </c>
      <c r="AC272" s="5"/>
      <c r="AD272">
        <f t="shared" si="45"/>
        <v>255</v>
      </c>
      <c r="AE272">
        <f t="shared" si="46"/>
        <v>255</v>
      </c>
      <c r="AF272">
        <f t="shared" si="47"/>
        <v>255</v>
      </c>
      <c r="AG272" s="3"/>
      <c r="AH272">
        <f t="shared" si="39"/>
        <v>0</v>
      </c>
      <c r="AI272">
        <f t="shared" si="40"/>
        <v>0</v>
      </c>
      <c r="AJ272">
        <f t="shared" si="41"/>
        <v>0</v>
      </c>
      <c r="AK272" s="4"/>
      <c r="AL272">
        <f>SQRT((2+(($AL$3+Table4[[#This Row],[Red]])/2)/256)*($AL$3-Table4[[#This Row],[Red]])^2 + 4*($AM$3-Table4[[#This Row],[Green]])^2 + (2+(255-(($AL$3+Table4[[#This Row],[Red]])/2))/256 )*($AN$3-Table4[[#This Row],[Blue]])^2)</f>
        <v>403.53500467741333</v>
      </c>
      <c r="AM272">
        <f>SQRT((2+(($AO$3+Table4[[#This Row],[Red2]])/2)/256)*($AO$3-Table4[[#This Row],[Red2]])^2 + 4*($AP$3-Table4[[#This Row],[Green2]])^2 + (2+(255-(($AO$3+Table4[[#This Row],[Red2]])/2))/256 )*($AQ$3-Table4[[#This Row],[Blue2]])^2)</f>
        <v>591.92698260374561</v>
      </c>
      <c r="AN272">
        <f>SQRT(Table4[[#This Row],[diffPrimary]]^2+Table4[[#This Row],[diffSecondary]]^2)</f>
        <v>716.39238740677229</v>
      </c>
      <c r="AO272" s="2">
        <f>SQRT((2+(($AL$3+Table4[[#This Row],[Red2]])/2)/256)*($AL$3-Table4[[#This Row],[Red2]])^2 + 4*($AM$3-Table4[[#This Row],[Green2]])^2 + (2+(255-(($AL$3+Table4[[#This Row],[Red2]])/2))/256 )*($AN$3-Table4[[#This Row],[Blue2]])^2)</f>
        <v>308.71922923588676</v>
      </c>
      <c r="AP272" s="2">
        <f>SQRT((2+(($AO$3+Table4[[#This Row],[Red]])/2)/256)*($AO$3-Table4[[#This Row],[Red]])^2 + 4*($AP$3-Table4[[#This Row],[Green]])^2 + (2+(255-(($AO$3+Table4[[#This Row],[Red]])/2))/256 )*($AQ$3-Table4[[#This Row],[Blue]])^2)</f>
        <v>329.30143568905828</v>
      </c>
      <c r="AQ272" s="2">
        <f>SQRT(Table4[[#This Row],[diffPrimary2]]^2+Table4[[#This Row],[diffSecondary2]]^2)</f>
        <v>451.38342686332095</v>
      </c>
      <c r="AR272" s="786">
        <f>MIN(Table4[[#This Row],[MinOrig]],Table4[[#This Row],[MinSwap]])</f>
        <v>451.38342686332095</v>
      </c>
      <c r="AS272" s="2">
        <v>55.518964946673897</v>
      </c>
      <c r="AX272" s="4"/>
    </row>
    <row r="273" spans="1:50" x14ac:dyDescent="0.25">
      <c r="A273" t="s">
        <v>73</v>
      </c>
      <c r="B273">
        <v>0</v>
      </c>
      <c r="C273">
        <v>48</v>
      </c>
      <c r="D273">
        <v>135</v>
      </c>
      <c r="E273" s="65"/>
      <c r="F273">
        <v>255</v>
      </c>
      <c r="G273">
        <v>255</v>
      </c>
      <c r="H273">
        <v>255</v>
      </c>
      <c r="I273" s="3"/>
      <c r="J273">
        <v>0</v>
      </c>
      <c r="K273">
        <v>83</v>
      </c>
      <c r="L273">
        <v>155</v>
      </c>
      <c r="M273" s="152"/>
      <c r="N273">
        <v>1</v>
      </c>
      <c r="O273">
        <v>33</v>
      </c>
      <c r="P273">
        <v>105</v>
      </c>
      <c r="Q273" s="222"/>
      <c r="U273" s="4"/>
      <c r="Y273" s="4"/>
      <c r="Z273">
        <f t="shared" si="42"/>
        <v>0</v>
      </c>
      <c r="AA273">
        <f t="shared" si="43"/>
        <v>0</v>
      </c>
      <c r="AB273">
        <f t="shared" si="44"/>
        <v>127.5</v>
      </c>
      <c r="AC273" s="26"/>
      <c r="AD273">
        <f t="shared" si="45"/>
        <v>255</v>
      </c>
      <c r="AE273">
        <f t="shared" si="46"/>
        <v>255</v>
      </c>
      <c r="AF273">
        <f t="shared" si="47"/>
        <v>255</v>
      </c>
      <c r="AG273" s="3"/>
      <c r="AH273">
        <f t="shared" si="39"/>
        <v>0</v>
      </c>
      <c r="AI273">
        <f t="shared" si="40"/>
        <v>127.5</v>
      </c>
      <c r="AJ273">
        <f t="shared" si="41"/>
        <v>127.5</v>
      </c>
      <c r="AK273" s="24"/>
      <c r="AL273">
        <f>SQRT((2+(($AL$3+Table4[[#This Row],[Red]])/2)/256)*($AL$3-Table4[[#This Row],[Red]])^2 + 4*($AM$3-Table4[[#This Row],[Green]])^2 + (2+(255-(($AL$3+Table4[[#This Row],[Red]])/2))/256 )*($AN$3-Table4[[#This Row],[Blue]])^2)</f>
        <v>553.67716436904823</v>
      </c>
      <c r="AM273">
        <f>SQRT((2+(($AO$3+Table4[[#This Row],[Red2]])/2)/256)*($AO$3-Table4[[#This Row],[Red2]])^2 + 4*($AP$3-Table4[[#This Row],[Green2]])^2 + (2+(255-(($AO$3+Table4[[#This Row],[Red2]])/2))/256 )*($AQ$3-Table4[[#This Row],[Blue2]])^2)</f>
        <v>764.83396635724148</v>
      </c>
      <c r="AN273">
        <f>SQRT(Table4[[#This Row],[diffPrimary]]^2+Table4[[#This Row],[diffSecondary]]^2)</f>
        <v>944.20834482517682</v>
      </c>
      <c r="AO273" s="2">
        <f>SQRT((2+(($AL$3+Table4[[#This Row],[Red2]])/2)/256)*($AL$3-Table4[[#This Row],[Red2]])^2 + 4*($AM$3-Table4[[#This Row],[Green2]])^2 + (2+(255-(($AL$3+Table4[[#This Row],[Red2]])/2))/256 )*($AN$3-Table4[[#This Row],[Blue2]])^2)</f>
        <v>374.23254802328461</v>
      </c>
      <c r="AP273" s="2">
        <f>SQRT((2+(($AO$3+Table4[[#This Row],[Red]])/2)/256)*($AO$3-Table4[[#This Row],[Red]])^2 + 4*($AP$3-Table4[[#This Row],[Green]])^2 + (2+(255-(($AO$3+Table4[[#This Row],[Red]])/2))/256 )*($AQ$3-Table4[[#This Row],[Blue]])^2)</f>
        <v>252.62582725000624</v>
      </c>
      <c r="AQ273" s="2">
        <f>SQRT(Table4[[#This Row],[diffPrimary2]]^2+Table4[[#This Row],[diffSecondary2]]^2)</f>
        <v>451.51944431414029</v>
      </c>
      <c r="AR273" s="786">
        <f>MIN(Table4[[#This Row],[MinOrig]],Table4[[#This Row],[MinSwap]])</f>
        <v>451.51944431414029</v>
      </c>
      <c r="AS273" s="2">
        <v>43.687052930473598</v>
      </c>
      <c r="AX273" s="4"/>
    </row>
    <row r="274" spans="1:50" x14ac:dyDescent="0.25">
      <c r="A274" t="s">
        <v>190</v>
      </c>
      <c r="B274">
        <v>0</v>
      </c>
      <c r="C274">
        <v>84</v>
      </c>
      <c r="D274">
        <v>166</v>
      </c>
      <c r="E274" s="392"/>
      <c r="F274">
        <v>164</v>
      </c>
      <c r="G274">
        <v>169</v>
      </c>
      <c r="H274">
        <v>173</v>
      </c>
      <c r="I274" s="393"/>
      <c r="J274">
        <v>0</v>
      </c>
      <c r="K274">
        <v>48</v>
      </c>
      <c r="L274">
        <v>86</v>
      </c>
      <c r="M274" s="193"/>
      <c r="Q274" s="4"/>
      <c r="U274" s="4"/>
      <c r="Y274" s="4"/>
      <c r="Z274">
        <f t="shared" si="42"/>
        <v>0</v>
      </c>
      <c r="AA274">
        <f t="shared" si="43"/>
        <v>127.5</v>
      </c>
      <c r="AB274">
        <f t="shared" si="44"/>
        <v>127.5</v>
      </c>
      <c r="AC274" s="24"/>
      <c r="AD274">
        <f t="shared" si="45"/>
        <v>127.5</v>
      </c>
      <c r="AE274">
        <f t="shared" si="46"/>
        <v>127.5</v>
      </c>
      <c r="AF274">
        <f t="shared" si="47"/>
        <v>127.5</v>
      </c>
      <c r="AG274" s="32"/>
      <c r="AH274">
        <f t="shared" si="39"/>
        <v>0</v>
      </c>
      <c r="AI274">
        <f t="shared" si="40"/>
        <v>0</v>
      </c>
      <c r="AJ274">
        <f t="shared" si="41"/>
        <v>127.5</v>
      </c>
      <c r="AK274" s="26"/>
      <c r="AL274">
        <f>SQRT((2+(($AL$3+Table4[[#This Row],[Red]])/2)/256)*($AL$3-Table4[[#This Row],[Red]])^2 + 4*($AM$3-Table4[[#This Row],[Green]])^2 + (2+(255-(($AL$3+Table4[[#This Row],[Red]])/2))/256 )*($AN$3-Table4[[#This Row],[Blue]])^2)</f>
        <v>538.36388970135715</v>
      </c>
      <c r="AM274">
        <f>SQRT((2+(($AO$3+Table4[[#This Row],[Red2]])/2)/256)*($AO$3-Table4[[#This Row],[Red2]])^2 + 4*($AP$3-Table4[[#This Row],[Green2]])^2 + (2+(255-(($AO$3+Table4[[#This Row],[Red2]])/2))/256 )*($AQ$3-Table4[[#This Row],[Blue2]])^2)</f>
        <v>506.68982822950966</v>
      </c>
      <c r="AN274">
        <f>SQRT(Table4[[#This Row],[diffPrimary]]^2+Table4[[#This Row],[diffSecondary]]^2)</f>
        <v>739.3039021712417</v>
      </c>
      <c r="AO274" s="2">
        <f>SQRT((2+(($AL$3+Table4[[#This Row],[Red2]])/2)/256)*($AL$3-Table4[[#This Row],[Red2]])^2 + 4*($AM$3-Table4[[#This Row],[Green2]])^2 + (2+(255-(($AL$3+Table4[[#This Row],[Red2]])/2))/256 )*($AN$3-Table4[[#This Row],[Blue2]])^2)</f>
        <v>306.10495927663442</v>
      </c>
      <c r="AP274" s="2">
        <f>SQRT((2+(($AO$3+Table4[[#This Row],[Red]])/2)/256)*($AO$3-Table4[[#This Row],[Red]])^2 + 4*($AP$3-Table4[[#This Row],[Green]])^2 + (2+(255-(($AO$3+Table4[[#This Row],[Red]])/2))/256 )*($AQ$3-Table4[[#This Row],[Blue]])^2)</f>
        <v>332.84284486075404</v>
      </c>
      <c r="AQ274" s="2">
        <f>SQRT(Table4[[#This Row],[diffPrimary2]]^2+Table4[[#This Row],[diffSecondary2]]^2)</f>
        <v>452.19974067744664</v>
      </c>
      <c r="AR274" s="786">
        <f>MIN(Table4[[#This Row],[MinOrig]],Table4[[#This Row],[MinSwap]])</f>
        <v>452.19974067744664</v>
      </c>
      <c r="AS274" s="2">
        <v>70.648558017839306</v>
      </c>
      <c r="AX274" s="4"/>
    </row>
    <row r="275" spans="1:50" x14ac:dyDescent="0.25">
      <c r="A275" t="s">
        <v>311</v>
      </c>
      <c r="B275">
        <v>204</v>
      </c>
      <c r="C275">
        <v>0</v>
      </c>
      <c r="D275">
        <v>0</v>
      </c>
      <c r="E275" s="109"/>
      <c r="F275">
        <v>128</v>
      </c>
      <c r="G275">
        <v>128</v>
      </c>
      <c r="H275">
        <v>128</v>
      </c>
      <c r="I275" s="32"/>
      <c r="J275">
        <v>0</v>
      </c>
      <c r="K275">
        <v>0</v>
      </c>
      <c r="L275">
        <v>0</v>
      </c>
      <c r="M275" s="4"/>
      <c r="Q275" s="4"/>
      <c r="U275" s="4"/>
      <c r="Y275" s="4"/>
      <c r="Z275">
        <f t="shared" si="42"/>
        <v>255</v>
      </c>
      <c r="AA275">
        <f t="shared" si="43"/>
        <v>0</v>
      </c>
      <c r="AB275">
        <f t="shared" si="44"/>
        <v>0</v>
      </c>
      <c r="AC275" s="5"/>
      <c r="AD275">
        <f t="shared" si="45"/>
        <v>127.5</v>
      </c>
      <c r="AE275">
        <f t="shared" si="46"/>
        <v>127.5</v>
      </c>
      <c r="AF275">
        <f t="shared" si="47"/>
        <v>127.5</v>
      </c>
      <c r="AG275" s="32"/>
      <c r="AH275">
        <f t="shared" si="39"/>
        <v>0</v>
      </c>
      <c r="AI275">
        <f t="shared" si="40"/>
        <v>0</v>
      </c>
      <c r="AJ275">
        <f t="shared" si="41"/>
        <v>0</v>
      </c>
      <c r="AK275" s="4"/>
      <c r="AL275">
        <f>SQRT((2+(($AL$3+Table4[[#This Row],[Red]])/2)/256)*($AL$3-Table4[[#This Row],[Red]])^2 + 4*($AM$3-Table4[[#This Row],[Green]])^2 + (2+(255-(($AL$3+Table4[[#This Row],[Red]])/2))/256 )*($AN$3-Table4[[#This Row],[Blue]])^2)</f>
        <v>419.08681184138328</v>
      </c>
      <c r="AM275">
        <f>SQRT((2+(($AO$3+Table4[[#This Row],[Red2]])/2)/256)*($AO$3-Table4[[#This Row],[Red2]])^2 + 4*($AP$3-Table4[[#This Row],[Green2]])^2 + (2+(255-(($AO$3+Table4[[#This Row],[Red2]])/2))/256 )*($AQ$3-Table4[[#This Row],[Blue2]])^2)</f>
        <v>383.91665762245844</v>
      </c>
      <c r="AN275">
        <f>SQRT(Table4[[#This Row],[diffPrimary]]^2+Table4[[#This Row],[diffSecondary]]^2)</f>
        <v>568.35354829487517</v>
      </c>
      <c r="AO275" s="2">
        <f>SQRT((2+(($AL$3+Table4[[#This Row],[Red2]])/2)/256)*($AL$3-Table4[[#This Row],[Red2]])^2 + 4*($AM$3-Table4[[#This Row],[Green2]])^2 + (2+(255-(($AL$3+Table4[[#This Row],[Red2]])/2))/256 )*($AN$3-Table4[[#This Row],[Blue2]])^2)</f>
        <v>323.83830540390835</v>
      </c>
      <c r="AP275" s="2">
        <f>SQRT((2+(($AO$3+Table4[[#This Row],[Red]])/2)/256)*($AO$3-Table4[[#This Row],[Red]])^2 + 4*($AP$3-Table4[[#This Row],[Green]])^2 + (2+(255-(($AO$3+Table4[[#This Row],[Red]])/2))/256 )*($AQ$3-Table4[[#This Row],[Blue]])^2)</f>
        <v>315.93254818077861</v>
      </c>
      <c r="AQ275" s="2">
        <f>SQRT(Table4[[#This Row],[diffPrimary2]]^2+Table4[[#This Row],[diffSecondary2]]^2)</f>
        <v>452.4208472726196</v>
      </c>
      <c r="AR275" s="786">
        <f>MIN(Table4[[#This Row],[MinOrig]],Table4[[#This Row],[MinSwap]])</f>
        <v>452.4208472726196</v>
      </c>
      <c r="AS275" s="2">
        <v>82.946130391206296</v>
      </c>
      <c r="AX275" s="4"/>
    </row>
    <row r="276" spans="1:50" x14ac:dyDescent="0.25">
      <c r="A276" t="s">
        <v>241</v>
      </c>
      <c r="B276">
        <v>206</v>
      </c>
      <c r="C276">
        <v>17</v>
      </c>
      <c r="D276">
        <v>65</v>
      </c>
      <c r="E276" s="204"/>
      <c r="F276">
        <v>177</v>
      </c>
      <c r="G276">
        <v>179</v>
      </c>
      <c r="H276">
        <v>182</v>
      </c>
      <c r="I276" s="467"/>
      <c r="J276">
        <v>77</v>
      </c>
      <c r="K276">
        <v>77</v>
      </c>
      <c r="L276">
        <v>79</v>
      </c>
      <c r="M276" s="468"/>
      <c r="N276">
        <v>255</v>
      </c>
      <c r="O276">
        <v>255</v>
      </c>
      <c r="P276">
        <v>255</v>
      </c>
      <c r="Q276" s="3"/>
      <c r="U276" s="4"/>
      <c r="Y276" s="4"/>
      <c r="Z276">
        <f t="shared" si="42"/>
        <v>255</v>
      </c>
      <c r="AA276">
        <f t="shared" si="43"/>
        <v>0</v>
      </c>
      <c r="AB276">
        <f t="shared" si="44"/>
        <v>127.5</v>
      </c>
      <c r="AC276" s="31"/>
      <c r="AD276">
        <f t="shared" si="45"/>
        <v>127.5</v>
      </c>
      <c r="AE276">
        <f t="shared" si="46"/>
        <v>127.5</v>
      </c>
      <c r="AF276">
        <f t="shared" si="47"/>
        <v>127.5</v>
      </c>
      <c r="AG276" s="32"/>
      <c r="AH276">
        <f t="shared" si="39"/>
        <v>127.5</v>
      </c>
      <c r="AI276">
        <f t="shared" si="40"/>
        <v>127.5</v>
      </c>
      <c r="AJ276">
        <f t="shared" si="41"/>
        <v>127.5</v>
      </c>
      <c r="AK276" s="32"/>
      <c r="AL276">
        <f>SQRT((2+(($AL$3+Table4[[#This Row],[Red]])/2)/256)*($AL$3-Table4[[#This Row],[Red]])^2 + 4*($AM$3-Table4[[#This Row],[Green]])^2 + (2+(255-(($AL$3+Table4[[#This Row],[Red]])/2))/256 )*($AN$3-Table4[[#This Row],[Blue]])^2)</f>
        <v>396.47721699203601</v>
      </c>
      <c r="AM276">
        <f>SQRT((2+(($AO$3+Table4[[#This Row],[Red2]])/2)/256)*($AO$3-Table4[[#This Row],[Red2]])^2 + 4*($AP$3-Table4[[#This Row],[Green2]])^2 + (2+(255-(($AO$3+Table4[[#This Row],[Red2]])/2))/256 )*($AQ$3-Table4[[#This Row],[Blue2]])^2)</f>
        <v>538.00006716135738</v>
      </c>
      <c r="AN276">
        <f>SQRT(Table4[[#This Row],[diffPrimary]]^2+Table4[[#This Row],[diffSecondary]]^2)</f>
        <v>668.30999981997502</v>
      </c>
      <c r="AO276" s="2">
        <f>SQRT((2+(($AL$3+Table4[[#This Row],[Red2]])/2)/256)*($AL$3-Table4[[#This Row],[Red2]])^2 + 4*($AM$3-Table4[[#This Row],[Green2]])^2 + (2+(255-(($AL$3+Table4[[#This Row],[Red2]])/2))/256 )*($AN$3-Table4[[#This Row],[Blue2]])^2)</f>
        <v>302.15825220403957</v>
      </c>
      <c r="AP276" s="2">
        <f>SQRT((2+(($AO$3+Table4[[#This Row],[Red]])/2)/256)*($AO$3-Table4[[#This Row],[Red]])^2 + 4*($AP$3-Table4[[#This Row],[Green]])^2 + (2+(255-(($AO$3+Table4[[#This Row],[Red]])/2))/256 )*($AQ$3-Table4[[#This Row],[Blue]])^2)</f>
        <v>337.72837180935807</v>
      </c>
      <c r="AQ276" s="2">
        <f>SQRT(Table4[[#This Row],[diffPrimary2]]^2+Table4[[#This Row],[diffSecondary2]]^2)</f>
        <v>453.16670497731849</v>
      </c>
      <c r="AR276" s="786">
        <f>MIN(Table4[[#This Row],[MinOrig]],Table4[[#This Row],[MinSwap]])</f>
        <v>453.16670497731849</v>
      </c>
      <c r="AS276" s="2">
        <v>41.346478084596299</v>
      </c>
      <c r="AX276" s="4"/>
    </row>
    <row r="277" spans="1:50" x14ac:dyDescent="0.25">
      <c r="A277" t="s">
        <v>310</v>
      </c>
      <c r="B277">
        <v>0</v>
      </c>
      <c r="C277">
        <v>112</v>
      </c>
      <c r="D277">
        <v>60</v>
      </c>
      <c r="E277" s="327"/>
      <c r="F277">
        <v>0</v>
      </c>
      <c r="G277">
        <v>0</v>
      </c>
      <c r="H277">
        <v>0</v>
      </c>
      <c r="I277" s="4"/>
      <c r="J277">
        <v>255</v>
      </c>
      <c r="K277">
        <v>255</v>
      </c>
      <c r="L277">
        <v>255</v>
      </c>
      <c r="M277" s="3"/>
      <c r="Q277" s="4"/>
      <c r="U277" s="4"/>
      <c r="Y277" s="4"/>
      <c r="Z277">
        <f t="shared" si="42"/>
        <v>0</v>
      </c>
      <c r="AA277">
        <f t="shared" si="43"/>
        <v>127.5</v>
      </c>
      <c r="AB277">
        <f t="shared" si="44"/>
        <v>0</v>
      </c>
      <c r="AC277" s="34"/>
      <c r="AD277">
        <f t="shared" si="45"/>
        <v>0</v>
      </c>
      <c r="AE277">
        <f t="shared" si="46"/>
        <v>0</v>
      </c>
      <c r="AF277">
        <f t="shared" si="47"/>
        <v>0</v>
      </c>
      <c r="AG277" s="4"/>
      <c r="AH277">
        <f t="shared" si="39"/>
        <v>255</v>
      </c>
      <c r="AI277">
        <f t="shared" si="40"/>
        <v>255</v>
      </c>
      <c r="AJ277">
        <f t="shared" si="41"/>
        <v>255</v>
      </c>
      <c r="AK277" s="3"/>
      <c r="AL277">
        <f>SQRT((2+(($AL$3+Table4[[#This Row],[Red]])/2)/256)*($AL$3-Table4[[#This Row],[Red]])^2 + 4*($AM$3-Table4[[#This Row],[Green]])^2 + (2+(255-(($AL$3+Table4[[#This Row],[Red]])/2))/256 )*($AN$3-Table4[[#This Row],[Blue]])^2)</f>
        <v>453.89918131329011</v>
      </c>
      <c r="AM277">
        <f>SQRT((2+(($AO$3+Table4[[#This Row],[Red2]])/2)/256)*($AO$3-Table4[[#This Row],[Red2]])^2 + 4*($AP$3-Table4[[#This Row],[Green2]])^2 + (2+(255-(($AO$3+Table4[[#This Row],[Red2]])/2))/256 )*($AQ$3-Table4[[#This Row],[Blue2]])^2)</f>
        <v>0</v>
      </c>
      <c r="AN277">
        <f>SQRT(Table4[[#This Row],[diffPrimary]]^2+Table4[[#This Row],[diffSecondary]]^2)</f>
        <v>453.89918131329011</v>
      </c>
      <c r="AO277" s="2">
        <f>SQRT((2+(($AL$3+Table4[[#This Row],[Red2]])/2)/256)*($AL$3-Table4[[#This Row],[Red2]])^2 + 4*($AM$3-Table4[[#This Row],[Green2]])^2 + (2+(255-(($AL$3+Table4[[#This Row],[Red2]])/2))/256 )*($AN$3-Table4[[#This Row],[Blue2]])^2)</f>
        <v>574.92216694686158</v>
      </c>
      <c r="AP277" s="2">
        <f>SQRT((2+(($AO$3+Table4[[#This Row],[Red]])/2)/256)*($AO$3-Table4[[#This Row],[Red]])^2 + 4*($AP$3-Table4[[#This Row],[Green]])^2 + (2+(255-(($AO$3+Table4[[#This Row],[Red]])/2))/256 )*($AQ$3-Table4[[#This Row],[Blue]])^2)</f>
        <v>246.90471340174938</v>
      </c>
      <c r="AQ277" s="2">
        <f>SQRT(Table4[[#This Row],[diffPrimary2]]^2+Table4[[#This Row],[diffSecondary2]]^2)</f>
        <v>625.69755916646739</v>
      </c>
      <c r="AR277" s="786">
        <f>MIN(Table4[[#This Row],[MinOrig]],Table4[[#This Row],[MinSwap]])</f>
        <v>453.89918131329011</v>
      </c>
      <c r="AS277" s="2">
        <v>14.932007358356101</v>
      </c>
      <c r="AX277" s="4"/>
    </row>
    <row r="278" spans="1:50" x14ac:dyDescent="0.25">
      <c r="A278" t="s">
        <v>104</v>
      </c>
      <c r="B278">
        <v>0</v>
      </c>
      <c r="C278">
        <v>103</v>
      </c>
      <c r="D278">
        <v>71</v>
      </c>
      <c r="E278" s="172"/>
      <c r="F278">
        <v>157</v>
      </c>
      <c r="G278">
        <v>34</v>
      </c>
      <c r="H278">
        <v>53</v>
      </c>
      <c r="I278" s="85"/>
      <c r="J278">
        <v>138</v>
      </c>
      <c r="K278">
        <v>141</v>
      </c>
      <c r="L278">
        <v>143</v>
      </c>
      <c r="M278" s="66"/>
      <c r="Q278" s="4"/>
      <c r="U278" s="4"/>
      <c r="Y278" s="4"/>
      <c r="Z278">
        <f t="shared" si="42"/>
        <v>0</v>
      </c>
      <c r="AA278">
        <f t="shared" si="43"/>
        <v>127.5</v>
      </c>
      <c r="AB278">
        <f t="shared" si="44"/>
        <v>127.5</v>
      </c>
      <c r="AC278" s="24"/>
      <c r="AD278">
        <f t="shared" si="45"/>
        <v>127.5</v>
      </c>
      <c r="AE278">
        <f t="shared" si="46"/>
        <v>0</v>
      </c>
      <c r="AF278">
        <f t="shared" si="47"/>
        <v>0</v>
      </c>
      <c r="AG278" s="27"/>
      <c r="AH278">
        <f t="shared" si="39"/>
        <v>127.5</v>
      </c>
      <c r="AI278">
        <f t="shared" si="40"/>
        <v>127.5</v>
      </c>
      <c r="AJ278">
        <f t="shared" si="41"/>
        <v>127.5</v>
      </c>
      <c r="AK278" s="32"/>
      <c r="AL278">
        <f>SQRT((2+(($AL$3+Table4[[#This Row],[Red]])/2)/256)*($AL$3-Table4[[#This Row],[Red]])^2 + 4*($AM$3-Table4[[#This Row],[Green]])^2 + (2+(255-(($AL$3+Table4[[#This Row],[Red]])/2))/256 )*($AN$3-Table4[[#This Row],[Blue]])^2)</f>
        <v>465.45048323505904</v>
      </c>
      <c r="AM278">
        <f>SQRT((2+(($AO$3+Table4[[#This Row],[Red2]])/2)/256)*($AO$3-Table4[[#This Row],[Red2]])^2 + 4*($AP$3-Table4[[#This Row],[Green2]])^2 + (2+(255-(($AO$3+Table4[[#This Row],[Red2]])/2))/256 )*($AQ$3-Table4[[#This Row],[Blue2]])^2)</f>
        <v>262.74523514946947</v>
      </c>
      <c r="AN278">
        <f>SQRT(Table4[[#This Row],[diffPrimary]]^2+Table4[[#This Row],[diffSecondary]]^2)</f>
        <v>534.48967336843839</v>
      </c>
      <c r="AO278" s="2">
        <f>SQRT((2+(($AL$3+Table4[[#This Row],[Red2]])/2)/256)*($AL$3-Table4[[#This Row],[Red2]])^2 + 4*($AM$3-Table4[[#This Row],[Green2]])^2 + (2+(255-(($AL$3+Table4[[#This Row],[Red2]])/2))/256 )*($AN$3-Table4[[#This Row],[Blue2]])^2)</f>
        <v>387.37046726131564</v>
      </c>
      <c r="AP278" s="2">
        <f>SQRT((2+(($AO$3+Table4[[#This Row],[Red]])/2)/256)*($AO$3-Table4[[#This Row],[Red]])^2 + 4*($AP$3-Table4[[#This Row],[Green]])^2 + (2+(255-(($AO$3+Table4[[#This Row],[Red]])/2))/256 )*($AQ$3-Table4[[#This Row],[Blue]])^2)</f>
        <v>239.87352624612413</v>
      </c>
      <c r="AQ278" s="2">
        <f>SQRT(Table4[[#This Row],[diffPrimary2]]^2+Table4[[#This Row],[diffSecondary2]]^2)</f>
        <v>455.62614883257083</v>
      </c>
      <c r="AR278" s="786">
        <f>MIN(Table4[[#This Row],[MinOrig]],Table4[[#This Row],[MinSwap]])</f>
        <v>455.62614883257083</v>
      </c>
      <c r="AS278" s="2">
        <v>114.089585825131</v>
      </c>
      <c r="AX278" s="4"/>
    </row>
    <row r="279" spans="1:50" x14ac:dyDescent="0.25">
      <c r="A279" t="s">
        <v>12</v>
      </c>
      <c r="B279">
        <v>157</v>
      </c>
      <c r="C279">
        <v>34</v>
      </c>
      <c r="D279">
        <v>53</v>
      </c>
      <c r="E279" s="85"/>
      <c r="F279">
        <v>255</v>
      </c>
      <c r="G279">
        <v>255</v>
      </c>
      <c r="H279">
        <v>255</v>
      </c>
      <c r="I279" s="3"/>
      <c r="M279" s="4"/>
      <c r="Q279" s="4"/>
      <c r="U279" s="4"/>
      <c r="Y279" s="4"/>
      <c r="Z279">
        <f t="shared" si="42"/>
        <v>127.5</v>
      </c>
      <c r="AA279">
        <f t="shared" si="43"/>
        <v>0</v>
      </c>
      <c r="AB279">
        <f t="shared" si="44"/>
        <v>0</v>
      </c>
      <c r="AC279" s="27"/>
      <c r="AD279">
        <f t="shared" si="45"/>
        <v>255</v>
      </c>
      <c r="AE279">
        <f t="shared" si="46"/>
        <v>255</v>
      </c>
      <c r="AF279">
        <f t="shared" si="47"/>
        <v>255</v>
      </c>
      <c r="AG279" s="3"/>
      <c r="AH279">
        <f t="shared" si="39"/>
        <v>0</v>
      </c>
      <c r="AI279">
        <f t="shared" si="40"/>
        <v>0</v>
      </c>
      <c r="AJ279">
        <f t="shared" si="41"/>
        <v>0</v>
      </c>
      <c r="AK279" s="4"/>
      <c r="AL279">
        <f>SQRT((2+(($AL$3+Table4[[#This Row],[Red]])/2)/256)*($AL$3-Table4[[#This Row],[Red]])^2 + 4*($AM$3-Table4[[#This Row],[Green]])^2 + (2+(255-(($AL$3+Table4[[#This Row],[Red]])/2))/256 )*($AN$3-Table4[[#This Row],[Blue]])^2)</f>
        <v>387.37046726131564</v>
      </c>
      <c r="AM279">
        <f>SQRT((2+(($AO$3+Table4[[#This Row],[Red2]])/2)/256)*($AO$3-Table4[[#This Row],[Red2]])^2 + 4*($AP$3-Table4[[#This Row],[Green2]])^2 + (2+(255-(($AO$3+Table4[[#This Row],[Red2]])/2))/256 )*($AQ$3-Table4[[#This Row],[Blue2]])^2)</f>
        <v>764.83396635724148</v>
      </c>
      <c r="AN279">
        <f>SQRT(Table4[[#This Row],[diffPrimary]]^2+Table4[[#This Row],[diffSecondary]]^2)</f>
        <v>857.33708364913275</v>
      </c>
      <c r="AO279" s="2">
        <f>SQRT((2+(($AL$3+Table4[[#This Row],[Red2]])/2)/256)*($AL$3-Table4[[#This Row],[Red2]])^2 + 4*($AM$3-Table4[[#This Row],[Green2]])^2 + (2+(255-(($AL$3+Table4[[#This Row],[Red2]])/2))/256 )*($AN$3-Table4[[#This Row],[Blue2]])^2)</f>
        <v>374.23254802328461</v>
      </c>
      <c r="AP279" s="2">
        <f>SQRT((2+(($AO$3+Table4[[#This Row],[Red]])/2)/256)*($AO$3-Table4[[#This Row],[Red]])^2 + 4*($AP$3-Table4[[#This Row],[Green]])^2 + (2+(255-(($AO$3+Table4[[#This Row],[Red]])/2))/256 )*($AQ$3-Table4[[#This Row],[Blue]])^2)</f>
        <v>262.74523514946947</v>
      </c>
      <c r="AQ279" s="2">
        <f>SQRT(Table4[[#This Row],[diffPrimary2]]^2+Table4[[#This Row],[diffSecondary2]]^2)</f>
        <v>457.25819685791311</v>
      </c>
      <c r="AR279" s="786">
        <f>MIN(Table4[[#This Row],[MinOrig]],Table4[[#This Row],[MinSwap]])</f>
        <v>457.25819685791311</v>
      </c>
      <c r="AS279" s="2">
        <v>24.428147187210101</v>
      </c>
      <c r="AX279" s="4"/>
    </row>
    <row r="280" spans="1:50" x14ac:dyDescent="0.25">
      <c r="A280" t="s">
        <v>234</v>
      </c>
      <c r="B280">
        <v>104</v>
      </c>
      <c r="C280">
        <v>171</v>
      </c>
      <c r="D280">
        <v>232</v>
      </c>
      <c r="E280" s="456"/>
      <c r="F280">
        <v>0</v>
      </c>
      <c r="G280">
        <v>33</v>
      </c>
      <c r="H280">
        <v>71</v>
      </c>
      <c r="I280" s="457"/>
      <c r="J280">
        <v>255</v>
      </c>
      <c r="K280">
        <v>255</v>
      </c>
      <c r="L280">
        <v>255</v>
      </c>
      <c r="M280" s="3"/>
      <c r="Q280" s="4"/>
      <c r="U280" s="4"/>
      <c r="Y280" s="4"/>
      <c r="Z280">
        <f t="shared" si="42"/>
        <v>127.5</v>
      </c>
      <c r="AA280">
        <f t="shared" si="43"/>
        <v>127.5</v>
      </c>
      <c r="AB280">
        <f t="shared" si="44"/>
        <v>255</v>
      </c>
      <c r="AC280" s="37"/>
      <c r="AD280">
        <f t="shared" si="45"/>
        <v>0</v>
      </c>
      <c r="AE280">
        <f t="shared" si="46"/>
        <v>0</v>
      </c>
      <c r="AF280">
        <f t="shared" si="47"/>
        <v>127.5</v>
      </c>
      <c r="AG280" s="26"/>
      <c r="AH280">
        <f t="shared" si="39"/>
        <v>255</v>
      </c>
      <c r="AI280">
        <f t="shared" si="40"/>
        <v>255</v>
      </c>
      <c r="AJ280">
        <f t="shared" si="41"/>
        <v>255</v>
      </c>
      <c r="AK280" s="3"/>
      <c r="AL280">
        <f>SQRT((2+(($AL$3+Table4[[#This Row],[Red]])/2)/256)*($AL$3-Table4[[#This Row],[Red]])^2 + 4*($AM$3-Table4[[#This Row],[Green]])^2 + (2+(255-(($AL$3+Table4[[#This Row],[Red]])/2))/256 )*($AN$3-Table4[[#This Row],[Blue]])^2)</f>
        <v>435.58615097575705</v>
      </c>
      <c r="AM280">
        <f>SQRT((2+(($AO$3+Table4[[#This Row],[Red2]])/2)/256)*($AO$3-Table4[[#This Row],[Red2]])^2 + 4*($AP$3-Table4[[#This Row],[Green2]])^2 + (2+(255-(($AO$3+Table4[[#This Row],[Red2]])/2))/256 )*($AQ$3-Table4[[#This Row],[Blue2]])^2)</f>
        <v>139.49662574324154</v>
      </c>
      <c r="AN280">
        <f>SQRT(Table4[[#This Row],[diffPrimary]]^2+Table4[[#This Row],[diffSecondary]]^2)</f>
        <v>457.37796570847729</v>
      </c>
      <c r="AO280" s="2">
        <f>SQRT((2+(($AL$3+Table4[[#This Row],[Red2]])/2)/256)*($AL$3-Table4[[#This Row],[Red2]])^2 + 4*($AM$3-Table4[[#This Row],[Green2]])^2 + (2+(255-(($AL$3+Table4[[#This Row],[Red2]])/2))/256 )*($AN$3-Table4[[#This Row],[Blue2]])^2)</f>
        <v>541.6310112463558</v>
      </c>
      <c r="AP280" s="2">
        <f>SQRT((2+(($AO$3+Table4[[#This Row],[Red]])/2)/256)*($AO$3-Table4[[#This Row],[Red]])^2 + 4*($AP$3-Table4[[#This Row],[Green]])^2 + (2+(255-(($AO$3+Table4[[#This Row],[Red]])/2))/256 )*($AQ$3-Table4[[#This Row],[Blue]])^2)</f>
        <v>539.55699420913822</v>
      </c>
      <c r="AQ280" s="2">
        <f>SQRT(Table4[[#This Row],[diffPrimary2]]^2+Table4[[#This Row],[diffSecondary2]]^2)</f>
        <v>764.51677701915082</v>
      </c>
      <c r="AR280" s="786">
        <f>MIN(Table4[[#This Row],[MinOrig]],Table4[[#This Row],[MinSwap]])</f>
        <v>457.37796570847729</v>
      </c>
      <c r="AS280" s="2">
        <v>123.231299291211</v>
      </c>
      <c r="AX280" s="4"/>
    </row>
    <row r="281" spans="1:50" x14ac:dyDescent="0.25">
      <c r="A281" t="s">
        <v>101</v>
      </c>
      <c r="B281">
        <v>179</v>
      </c>
      <c r="C281">
        <v>163</v>
      </c>
      <c r="D281">
        <v>105</v>
      </c>
      <c r="E281" s="265"/>
      <c r="F281">
        <v>162</v>
      </c>
      <c r="G281">
        <v>141</v>
      </c>
      <c r="H281">
        <v>91</v>
      </c>
      <c r="I281" s="266"/>
      <c r="J281">
        <v>0</v>
      </c>
      <c r="K281">
        <v>48</v>
      </c>
      <c r="L281">
        <v>87</v>
      </c>
      <c r="M281" s="267"/>
      <c r="Q281" s="4"/>
      <c r="U281" s="4"/>
      <c r="Y281" s="4"/>
      <c r="Z281">
        <f t="shared" si="42"/>
        <v>127.5</v>
      </c>
      <c r="AA281">
        <f t="shared" si="43"/>
        <v>127.5</v>
      </c>
      <c r="AB281">
        <f t="shared" si="44"/>
        <v>127.5</v>
      </c>
      <c r="AC281" s="32"/>
      <c r="AD281">
        <f t="shared" si="45"/>
        <v>127.5</v>
      </c>
      <c r="AE281">
        <f t="shared" si="46"/>
        <v>127.5</v>
      </c>
      <c r="AF281">
        <f t="shared" si="47"/>
        <v>127.5</v>
      </c>
      <c r="AG281" s="32"/>
      <c r="AH281">
        <f t="shared" si="39"/>
        <v>0</v>
      </c>
      <c r="AI281">
        <f t="shared" si="40"/>
        <v>0</v>
      </c>
      <c r="AJ281">
        <f t="shared" si="41"/>
        <v>127.5</v>
      </c>
      <c r="AK281" s="26"/>
      <c r="AL281">
        <f>SQRT((2+(($AL$3+Table4[[#This Row],[Red]])/2)/256)*($AL$3-Table4[[#This Row],[Red]])^2 + 4*($AM$3-Table4[[#This Row],[Green]])^2 + (2+(255-(($AL$3+Table4[[#This Row],[Red]])/2))/256 )*($AN$3-Table4[[#This Row],[Blue]])^2)</f>
        <v>217.23394287610765</v>
      </c>
      <c r="AM281">
        <f>SQRT((2+(($AO$3+Table4[[#This Row],[Red2]])/2)/256)*($AO$3-Table4[[#This Row],[Red2]])^2 + 4*($AP$3-Table4[[#This Row],[Green2]])^2 + (2+(255-(($AO$3+Table4[[#This Row],[Red2]])/2))/256 )*($AQ$3-Table4[[#This Row],[Blue2]])^2)</f>
        <v>403.12064920132781</v>
      </c>
      <c r="AN281">
        <f>SQRT(Table4[[#This Row],[diffPrimary]]^2+Table4[[#This Row],[diffSecondary]]^2)</f>
        <v>457.92667944770375</v>
      </c>
      <c r="AO281" s="2">
        <f>SQRT((2+(($AL$3+Table4[[#This Row],[Red2]])/2)/256)*($AL$3-Table4[[#This Row],[Red2]])^2 + 4*($AM$3-Table4[[#This Row],[Green2]])^2 + (2+(255-(($AL$3+Table4[[#This Row],[Red2]])/2))/256 )*($AN$3-Table4[[#This Row],[Blue2]])^2)</f>
        <v>242.47138200981576</v>
      </c>
      <c r="AP281" s="2">
        <f>SQRT((2+(($AO$3+Table4[[#This Row],[Red]])/2)/256)*($AO$3-Table4[[#This Row],[Red]])^2 + 4*($AP$3-Table4[[#This Row],[Green]])^2 + (2+(255-(($AO$3+Table4[[#This Row],[Red]])/2))/256 )*($AQ$3-Table4[[#This Row],[Blue]])^2)</f>
        <v>459.06135125792281</v>
      </c>
      <c r="AQ281" s="2">
        <f>SQRT(Table4[[#This Row],[diffPrimary2]]^2+Table4[[#This Row],[diffSecondary2]]^2)</f>
        <v>519.16249413117282</v>
      </c>
      <c r="AR281" s="786">
        <f>MIN(Table4[[#This Row],[MinOrig]],Table4[[#This Row],[MinSwap]])</f>
        <v>457.92667944770375</v>
      </c>
      <c r="AS281" s="2">
        <v>87.502433001888605</v>
      </c>
      <c r="AX281" s="4"/>
    </row>
    <row r="282" spans="1:50" x14ac:dyDescent="0.25">
      <c r="A282" t="s">
        <v>208</v>
      </c>
      <c r="B282">
        <v>78</v>
      </c>
      <c r="C282">
        <v>42</v>
      </c>
      <c r="D282">
        <v>132</v>
      </c>
      <c r="E282" s="420"/>
      <c r="F282">
        <v>255</v>
      </c>
      <c r="G282">
        <v>255</v>
      </c>
      <c r="H282">
        <v>255</v>
      </c>
      <c r="I282" s="3"/>
      <c r="M282" s="4"/>
      <c r="Q282" s="4"/>
      <c r="U282" s="4"/>
      <c r="Y282" s="4"/>
      <c r="Z282">
        <f t="shared" si="42"/>
        <v>127.5</v>
      </c>
      <c r="AA282">
        <f t="shared" si="43"/>
        <v>0</v>
      </c>
      <c r="AB282">
        <f t="shared" si="44"/>
        <v>127.5</v>
      </c>
      <c r="AC282" s="30"/>
      <c r="AD282">
        <f t="shared" si="45"/>
        <v>255</v>
      </c>
      <c r="AE282">
        <f t="shared" si="46"/>
        <v>255</v>
      </c>
      <c r="AF282">
        <f t="shared" si="47"/>
        <v>255</v>
      </c>
      <c r="AG282" s="3"/>
      <c r="AH282">
        <f t="shared" si="39"/>
        <v>0</v>
      </c>
      <c r="AI282">
        <f t="shared" si="40"/>
        <v>0</v>
      </c>
      <c r="AJ282">
        <f t="shared" si="41"/>
        <v>0</v>
      </c>
      <c r="AK282" s="4"/>
      <c r="AL282">
        <f>SQRT((2+(($AL$3+Table4[[#This Row],[Red]])/2)/256)*($AL$3-Table4[[#This Row],[Red]])^2 + 4*($AM$3-Table4[[#This Row],[Green]])^2 + (2+(255-(($AL$3+Table4[[#This Row],[Red]])/2))/256 )*($AN$3-Table4[[#This Row],[Blue]])^2)</f>
        <v>479.77246600927924</v>
      </c>
      <c r="AM282">
        <f>SQRT((2+(($AO$3+Table4[[#This Row],[Red2]])/2)/256)*($AO$3-Table4[[#This Row],[Red2]])^2 + 4*($AP$3-Table4[[#This Row],[Green2]])^2 + (2+(255-(($AO$3+Table4[[#This Row],[Red2]])/2))/256 )*($AQ$3-Table4[[#This Row],[Blue2]])^2)</f>
        <v>764.83396635724148</v>
      </c>
      <c r="AN282">
        <f>SQRT(Table4[[#This Row],[diffPrimary]]^2+Table4[[#This Row],[diffSecondary]]^2)</f>
        <v>902.85802606742936</v>
      </c>
      <c r="AO282" s="2">
        <f>SQRT((2+(($AL$3+Table4[[#This Row],[Red2]])/2)/256)*($AL$3-Table4[[#This Row],[Red2]])^2 + 4*($AM$3-Table4[[#This Row],[Green2]])^2 + (2+(255-(($AL$3+Table4[[#This Row],[Red2]])/2))/256 )*($AN$3-Table4[[#This Row],[Blue2]])^2)</f>
        <v>374.23254802328461</v>
      </c>
      <c r="AP282" s="2">
        <f>SQRT((2+(($AO$3+Table4[[#This Row],[Red]])/2)/256)*($AO$3-Table4[[#This Row],[Red]])^2 + 4*($AP$3-Table4[[#This Row],[Green]])^2 + (2+(255-(($AO$3+Table4[[#This Row],[Red]])/2))/256 )*($AQ$3-Table4[[#This Row],[Blue]])^2)</f>
        <v>264.00825626294341</v>
      </c>
      <c r="AQ282" s="2">
        <f>SQRT(Table4[[#This Row],[diffPrimary2]]^2+Table4[[#This Row],[diffSecondary2]]^2)</f>
        <v>457.9851082458905</v>
      </c>
      <c r="AR282" s="786">
        <f>MIN(Table4[[#This Row],[MinOrig]],Table4[[#This Row],[MinSwap]])</f>
        <v>457.9851082458905</v>
      </c>
      <c r="AS282" s="2">
        <v>13.041849705850799</v>
      </c>
      <c r="AX282" s="4"/>
    </row>
    <row r="283" spans="1:50" x14ac:dyDescent="0.25">
      <c r="A283" t="s">
        <v>274</v>
      </c>
      <c r="B283">
        <v>140</v>
      </c>
      <c r="C283">
        <v>21</v>
      </c>
      <c r="D283">
        <v>21</v>
      </c>
      <c r="E283" s="506"/>
      <c r="F283">
        <v>77</v>
      </c>
      <c r="G283">
        <v>79</v>
      </c>
      <c r="H283">
        <v>83</v>
      </c>
      <c r="I283" s="507"/>
      <c r="J283">
        <v>46</v>
      </c>
      <c r="K283">
        <v>45</v>
      </c>
      <c r="L283">
        <v>41</v>
      </c>
      <c r="M283" s="508"/>
      <c r="N283">
        <v>0</v>
      </c>
      <c r="O283">
        <v>118</v>
      </c>
      <c r="P283">
        <v>98</v>
      </c>
      <c r="Q283" s="509"/>
      <c r="U283" s="4"/>
      <c r="Y283" s="4"/>
      <c r="Z283">
        <f t="shared" si="42"/>
        <v>127.5</v>
      </c>
      <c r="AA283">
        <f t="shared" si="43"/>
        <v>0</v>
      </c>
      <c r="AB283">
        <f t="shared" si="44"/>
        <v>0</v>
      </c>
      <c r="AC283" s="27"/>
      <c r="AD283">
        <f t="shared" si="45"/>
        <v>127.5</v>
      </c>
      <c r="AE283">
        <f t="shared" si="46"/>
        <v>127.5</v>
      </c>
      <c r="AF283">
        <f t="shared" si="47"/>
        <v>127.5</v>
      </c>
      <c r="AG283" s="32"/>
      <c r="AH283">
        <f t="shared" si="39"/>
        <v>0</v>
      </c>
      <c r="AI283">
        <f t="shared" si="40"/>
        <v>0</v>
      </c>
      <c r="AJ283">
        <f t="shared" si="41"/>
        <v>0</v>
      </c>
      <c r="AK283" s="4"/>
      <c r="AL283">
        <f>SQRT((2+(($AL$3+Table4[[#This Row],[Red]])/2)/256)*($AL$3-Table4[[#This Row],[Red]])^2 + 4*($AM$3-Table4[[#This Row],[Green]])^2 + (2+(255-(($AL$3+Table4[[#This Row],[Red]])/2))/256 )*($AN$3-Table4[[#This Row],[Blue]])^2)</f>
        <v>416.00232402445783</v>
      </c>
      <c r="AM283">
        <f>SQRT((2+(($AO$3+Table4[[#This Row],[Red2]])/2)/256)*($AO$3-Table4[[#This Row],[Red2]])^2 + 4*($AP$3-Table4[[#This Row],[Green2]])^2 + (2+(255-(($AO$3+Table4[[#This Row],[Red2]])/2))/256 )*($AQ$3-Table4[[#This Row],[Blue2]])^2)</f>
        <v>239.41118362296694</v>
      </c>
      <c r="AN283">
        <f>SQRT(Table4[[#This Row],[diffPrimary]]^2+Table4[[#This Row],[diffSecondary]]^2)</f>
        <v>479.9746331187722</v>
      </c>
      <c r="AO283" s="2">
        <f>SQRT((2+(($AL$3+Table4[[#This Row],[Red2]])/2)/256)*($AL$3-Table4[[#This Row],[Red2]])^2 + 4*($AM$3-Table4[[#This Row],[Green2]])^2 + (2+(255-(($AL$3+Table4[[#This Row],[Red2]])/2))/256 )*($AN$3-Table4[[#This Row],[Blue2]])^2)</f>
        <v>404.46272715325699</v>
      </c>
      <c r="AP283" s="2">
        <f>SQRT((2+(($AO$3+Table4[[#This Row],[Red]])/2)/256)*($AO$3-Table4[[#This Row],[Red]])^2 + 4*($AP$3-Table4[[#This Row],[Green]])^2 + (2+(255-(($AO$3+Table4[[#This Row],[Red]])/2))/256 )*($AQ$3-Table4[[#This Row],[Blue]])^2)</f>
        <v>218.00015230785965</v>
      </c>
      <c r="AQ283" s="2">
        <f>SQRT(Table4[[#This Row],[diffPrimary2]]^2+Table4[[#This Row],[diffSecondary2]]^2)</f>
        <v>459.47161398991778</v>
      </c>
      <c r="AR283" s="786">
        <f>MIN(Table4[[#This Row],[MinOrig]],Table4[[#This Row],[MinSwap]])</f>
        <v>459.47161398991778</v>
      </c>
      <c r="AS283" s="2">
        <v>66.770201180054897</v>
      </c>
      <c r="AX283" s="4"/>
    </row>
    <row r="284" spans="1:50" x14ac:dyDescent="0.25">
      <c r="A284" t="s">
        <v>213</v>
      </c>
      <c r="B284">
        <v>187</v>
      </c>
      <c r="C284">
        <v>0</v>
      </c>
      <c r="D284">
        <v>0</v>
      </c>
      <c r="E284" s="429"/>
      <c r="F284">
        <v>102</v>
      </c>
      <c r="G284">
        <v>102</v>
      </c>
      <c r="H284">
        <v>102</v>
      </c>
      <c r="I284" s="134"/>
      <c r="J284">
        <v>255</v>
      </c>
      <c r="K284">
        <v>255</v>
      </c>
      <c r="L284">
        <v>255</v>
      </c>
      <c r="M284" s="3"/>
      <c r="N284">
        <v>0</v>
      </c>
      <c r="O284">
        <v>0</v>
      </c>
      <c r="P284">
        <v>0</v>
      </c>
      <c r="Q284" s="4"/>
      <c r="U284" s="4"/>
      <c r="Y284" s="4"/>
      <c r="Z284">
        <f t="shared" si="42"/>
        <v>127.5</v>
      </c>
      <c r="AA284">
        <f t="shared" si="43"/>
        <v>0</v>
      </c>
      <c r="AB284">
        <f t="shared" si="44"/>
        <v>0</v>
      </c>
      <c r="AC284" s="27"/>
      <c r="AD284">
        <f t="shared" si="45"/>
        <v>127.5</v>
      </c>
      <c r="AE284">
        <f t="shared" si="46"/>
        <v>127.5</v>
      </c>
      <c r="AF284">
        <f t="shared" si="47"/>
        <v>127.5</v>
      </c>
      <c r="AG284" s="32"/>
      <c r="AH284">
        <f t="shared" si="39"/>
        <v>255</v>
      </c>
      <c r="AI284">
        <f t="shared" si="40"/>
        <v>255</v>
      </c>
      <c r="AJ284">
        <f t="shared" si="41"/>
        <v>255</v>
      </c>
      <c r="AK284" s="3"/>
      <c r="AL284">
        <f>SQRT((2+(($AL$3+Table4[[#This Row],[Red]])/2)/256)*($AL$3-Table4[[#This Row],[Red]])^2 + 4*($AM$3-Table4[[#This Row],[Green]])^2 + (2+(255-(($AL$3+Table4[[#This Row],[Red]])/2))/256 )*($AN$3-Table4[[#This Row],[Blue]])^2)</f>
        <v>425.84012551660749</v>
      </c>
      <c r="AM284">
        <f>SQRT((2+(($AO$3+Table4[[#This Row],[Red2]])/2)/256)*($AO$3-Table4[[#This Row],[Red2]])^2 + 4*($AP$3-Table4[[#This Row],[Green2]])^2 + (2+(255-(($AO$3+Table4[[#This Row],[Red2]])/2))/256 )*($AQ$3-Table4[[#This Row],[Blue2]])^2)</f>
        <v>305.93358654289659</v>
      </c>
      <c r="AN284">
        <f>SQRT(Table4[[#This Row],[diffPrimary]]^2+Table4[[#This Row],[diffSecondary]]^2)</f>
        <v>524.34260924990633</v>
      </c>
      <c r="AO284" s="2">
        <f>SQRT((2+(($AL$3+Table4[[#This Row],[Red2]])/2)/256)*($AL$3-Table4[[#This Row],[Red2]])^2 + 4*($AM$3-Table4[[#This Row],[Green2]])^2 + (2+(255-(($AL$3+Table4[[#This Row],[Red2]])/2))/256 )*($AN$3-Table4[[#This Row],[Blue2]])^2)</f>
        <v>359.85177341250522</v>
      </c>
      <c r="AP284" s="2">
        <f>SQRT((2+(($AO$3+Table4[[#This Row],[Red]])/2)/256)*($AO$3-Table4[[#This Row],[Red]])^2 + 4*($AP$3-Table4[[#This Row],[Green]])^2 + (2+(255-(($AO$3+Table4[[#This Row],[Red]])/2))/256 )*($AQ$3-Table4[[#This Row],[Blue]])^2)</f>
        <v>287.59325593514012</v>
      </c>
      <c r="AQ284" s="2">
        <f>SQRT(Table4[[#This Row],[diffPrimary2]]^2+Table4[[#This Row],[diffSecondary2]]^2)</f>
        <v>460.65516353070439</v>
      </c>
      <c r="AR284" s="786">
        <f>MIN(Table4[[#This Row],[MinOrig]],Table4[[#This Row],[MinSwap]])</f>
        <v>460.65516353070439</v>
      </c>
      <c r="AS284" s="2">
        <v>82.946130391206296</v>
      </c>
      <c r="AX284" s="4"/>
    </row>
    <row r="285" spans="1:50" x14ac:dyDescent="0.25">
      <c r="A285" t="s">
        <v>79</v>
      </c>
      <c r="B285">
        <v>0</v>
      </c>
      <c r="C285">
        <v>105</v>
      </c>
      <c r="D285">
        <v>63</v>
      </c>
      <c r="E285" s="228"/>
      <c r="F285">
        <v>0</v>
      </c>
      <c r="G285">
        <v>0</v>
      </c>
      <c r="H285">
        <v>0</v>
      </c>
      <c r="I285" s="4"/>
      <c r="J285">
        <v>255</v>
      </c>
      <c r="K285">
        <v>255</v>
      </c>
      <c r="L285">
        <v>255</v>
      </c>
      <c r="M285" s="3"/>
      <c r="Q285" s="4"/>
      <c r="U285" s="4"/>
      <c r="Y285" s="4"/>
      <c r="Z285">
        <f t="shared" si="42"/>
        <v>0</v>
      </c>
      <c r="AA285">
        <f t="shared" si="43"/>
        <v>127.5</v>
      </c>
      <c r="AB285">
        <f t="shared" si="44"/>
        <v>0</v>
      </c>
      <c r="AC285" s="34"/>
      <c r="AD285">
        <f t="shared" si="45"/>
        <v>0</v>
      </c>
      <c r="AE285">
        <f t="shared" si="46"/>
        <v>0</v>
      </c>
      <c r="AF285">
        <f t="shared" si="47"/>
        <v>0</v>
      </c>
      <c r="AG285" s="4"/>
      <c r="AH285">
        <f t="shared" si="39"/>
        <v>255</v>
      </c>
      <c r="AI285">
        <f t="shared" si="40"/>
        <v>255</v>
      </c>
      <c r="AJ285">
        <f t="shared" si="41"/>
        <v>255</v>
      </c>
      <c r="AK285" s="3"/>
      <c r="AL285">
        <f>SQRT((2+(($AL$3+Table4[[#This Row],[Red]])/2)/256)*($AL$3-Table4[[#This Row],[Red]])^2 + 4*($AM$3-Table4[[#This Row],[Green]])^2 + (2+(255-(($AL$3+Table4[[#This Row],[Red]])/2))/256 )*($AN$3-Table4[[#This Row],[Blue]])^2)</f>
        <v>460.81476332008941</v>
      </c>
      <c r="AM285">
        <f>SQRT((2+(($AO$3+Table4[[#This Row],[Red2]])/2)/256)*($AO$3-Table4[[#This Row],[Red2]])^2 + 4*($AP$3-Table4[[#This Row],[Green2]])^2 + (2+(255-(($AO$3+Table4[[#This Row],[Red2]])/2))/256 )*($AQ$3-Table4[[#This Row],[Blue2]])^2)</f>
        <v>0</v>
      </c>
      <c r="AN285">
        <f>SQRT(Table4[[#This Row],[diffPrimary]]^2+Table4[[#This Row],[diffSecondary]]^2)</f>
        <v>460.81476332008941</v>
      </c>
      <c r="AO285" s="2">
        <f>SQRT((2+(($AL$3+Table4[[#This Row],[Red2]])/2)/256)*($AL$3-Table4[[#This Row],[Red2]])^2 + 4*($AM$3-Table4[[#This Row],[Green2]])^2 + (2+(255-(($AL$3+Table4[[#This Row],[Red2]])/2))/256 )*($AN$3-Table4[[#This Row],[Blue2]])^2)</f>
        <v>574.92216694686158</v>
      </c>
      <c r="AP285" s="2">
        <f>SQRT((2+(($AO$3+Table4[[#This Row],[Red]])/2)/256)*($AO$3-Table4[[#This Row],[Red]])^2 + 4*($AP$3-Table4[[#This Row],[Green]])^2 + (2+(255-(($AO$3+Table4[[#This Row],[Red]])/2))/256 )*($AQ$3-Table4[[#This Row],[Blue]])^2)</f>
        <v>236.62522286043387</v>
      </c>
      <c r="AQ285" s="2">
        <f>SQRT(Table4[[#This Row],[diffPrimary2]]^2+Table4[[#This Row],[diffSecondary2]]^2)</f>
        <v>621.71295156255587</v>
      </c>
      <c r="AR285" s="786">
        <f>MIN(Table4[[#This Row],[MinOrig]],Table4[[#This Row],[MinSwap]])</f>
        <v>460.81476332008941</v>
      </c>
      <c r="AS285" s="2">
        <v>14.4135353053996</v>
      </c>
      <c r="AX285" s="4"/>
    </row>
    <row r="286" spans="1:50" x14ac:dyDescent="0.25">
      <c r="A286" t="s">
        <v>191</v>
      </c>
      <c r="B286">
        <v>88</v>
      </c>
      <c r="C286">
        <v>44</v>
      </c>
      <c r="D286">
        <v>131</v>
      </c>
      <c r="E286" s="252"/>
      <c r="F286">
        <v>255</v>
      </c>
      <c r="G286">
        <v>255</v>
      </c>
      <c r="H286">
        <v>255</v>
      </c>
      <c r="I286" s="3"/>
      <c r="M286" s="4"/>
      <c r="Q286" s="4"/>
      <c r="U286" s="4"/>
      <c r="Y286" s="4"/>
      <c r="Z286">
        <f t="shared" si="42"/>
        <v>127.5</v>
      </c>
      <c r="AA286">
        <f t="shared" si="43"/>
        <v>0</v>
      </c>
      <c r="AB286">
        <f t="shared" si="44"/>
        <v>127.5</v>
      </c>
      <c r="AC286" s="30"/>
      <c r="AD286">
        <f t="shared" si="45"/>
        <v>255</v>
      </c>
      <c r="AE286">
        <f t="shared" si="46"/>
        <v>255</v>
      </c>
      <c r="AF286">
        <f t="shared" si="47"/>
        <v>255</v>
      </c>
      <c r="AG286" s="3"/>
      <c r="AH286">
        <f t="shared" si="39"/>
        <v>0</v>
      </c>
      <c r="AI286">
        <f t="shared" si="40"/>
        <v>0</v>
      </c>
      <c r="AJ286">
        <f t="shared" si="41"/>
        <v>0</v>
      </c>
      <c r="AK286" s="4"/>
      <c r="AL286">
        <f>SQRT((2+(($AL$3+Table4[[#This Row],[Red]])/2)/256)*($AL$3-Table4[[#This Row],[Red]])^2 + 4*($AM$3-Table4[[#This Row],[Green]])^2 + (2+(255-(($AL$3+Table4[[#This Row],[Red]])/2))/256 )*($AN$3-Table4[[#This Row],[Blue]])^2)</f>
        <v>466.97418206871993</v>
      </c>
      <c r="AM286">
        <f>SQRT((2+(($AO$3+Table4[[#This Row],[Red2]])/2)/256)*($AO$3-Table4[[#This Row],[Red2]])^2 + 4*($AP$3-Table4[[#This Row],[Green2]])^2 + (2+(255-(($AO$3+Table4[[#This Row],[Red2]])/2))/256 )*($AQ$3-Table4[[#This Row],[Blue2]])^2)</f>
        <v>764.83396635724148</v>
      </c>
      <c r="AN286">
        <f>SQRT(Table4[[#This Row],[diffPrimary]]^2+Table4[[#This Row],[diffSecondary]]^2)</f>
        <v>896.12269406175631</v>
      </c>
      <c r="AO286" s="2">
        <f>SQRT((2+(($AL$3+Table4[[#This Row],[Red2]])/2)/256)*($AL$3-Table4[[#This Row],[Red2]])^2 + 4*($AM$3-Table4[[#This Row],[Green2]])^2 + (2+(255-(($AL$3+Table4[[#This Row],[Red2]])/2))/256 )*($AN$3-Table4[[#This Row],[Blue2]])^2)</f>
        <v>374.23254802328461</v>
      </c>
      <c r="AP286" s="2">
        <f>SQRT((2+(($AO$3+Table4[[#This Row],[Red]])/2)/256)*($AO$3-Table4[[#This Row],[Red]])^2 + 4*($AP$3-Table4[[#This Row],[Green]])^2 + (2+(255-(($AO$3+Table4[[#This Row],[Red]])/2))/256 )*($AQ$3-Table4[[#This Row],[Blue]])^2)</f>
        <v>270.23955663216663</v>
      </c>
      <c r="AQ286" s="2">
        <f>SQRT(Table4[[#This Row],[diffPrimary2]]^2+Table4[[#This Row],[diffSecondary2]]^2)</f>
        <v>461.6052620678733</v>
      </c>
      <c r="AR286" s="786">
        <f>MIN(Table4[[#This Row],[MinOrig]],Table4[[#This Row],[MinSwap]])</f>
        <v>461.6052620678733</v>
      </c>
      <c r="AS286" s="2">
        <v>15.808917578379599</v>
      </c>
      <c r="AX286" s="4"/>
    </row>
    <row r="287" spans="1:50" x14ac:dyDescent="0.25">
      <c r="A287" t="s">
        <v>80</v>
      </c>
      <c r="B287">
        <v>167</v>
      </c>
      <c r="C287">
        <v>25</v>
      </c>
      <c r="D287">
        <v>51</v>
      </c>
      <c r="E287" s="229"/>
      <c r="F287">
        <v>255</v>
      </c>
      <c r="G287">
        <v>255</v>
      </c>
      <c r="H287">
        <v>255</v>
      </c>
      <c r="I287" s="3"/>
      <c r="J287">
        <v>0</v>
      </c>
      <c r="K287">
        <v>0</v>
      </c>
      <c r="L287">
        <v>0</v>
      </c>
      <c r="M287" s="4"/>
      <c r="N287">
        <v>109</v>
      </c>
      <c r="O287">
        <v>110</v>
      </c>
      <c r="P287">
        <v>113</v>
      </c>
      <c r="Q287" s="230"/>
      <c r="U287" s="4"/>
      <c r="Y287" s="4"/>
      <c r="Z287">
        <f t="shared" si="42"/>
        <v>127.5</v>
      </c>
      <c r="AA287">
        <f t="shared" si="43"/>
        <v>0</v>
      </c>
      <c r="AB287">
        <f t="shared" si="44"/>
        <v>0</v>
      </c>
      <c r="AC287" s="27"/>
      <c r="AD287">
        <f t="shared" si="45"/>
        <v>255</v>
      </c>
      <c r="AE287">
        <f t="shared" si="46"/>
        <v>255</v>
      </c>
      <c r="AF287">
        <f t="shared" si="47"/>
        <v>255</v>
      </c>
      <c r="AG287" s="3"/>
      <c r="AH287">
        <f t="shared" si="39"/>
        <v>0</v>
      </c>
      <c r="AI287">
        <f t="shared" si="40"/>
        <v>0</v>
      </c>
      <c r="AJ287">
        <f t="shared" si="41"/>
        <v>0</v>
      </c>
      <c r="AK287" s="4"/>
      <c r="AL287">
        <f>SQRT((2+(($AL$3+Table4[[#This Row],[Red]])/2)/256)*($AL$3-Table4[[#This Row],[Red]])^2 + 4*($AM$3-Table4[[#This Row],[Green]])^2 + (2+(255-(($AL$3+Table4[[#This Row],[Red]])/2))/256 )*($AN$3-Table4[[#This Row],[Blue]])^2)</f>
        <v>396.38339631599104</v>
      </c>
      <c r="AM287">
        <f>SQRT((2+(($AO$3+Table4[[#This Row],[Red2]])/2)/256)*($AO$3-Table4[[#This Row],[Red2]])^2 + 4*($AP$3-Table4[[#This Row],[Green2]])^2 + (2+(255-(($AO$3+Table4[[#This Row],[Red2]])/2))/256 )*($AQ$3-Table4[[#This Row],[Blue2]])^2)</f>
        <v>764.83396635724148</v>
      </c>
      <c r="AN287">
        <f>SQRT(Table4[[#This Row],[diffPrimary]]^2+Table4[[#This Row],[diffSecondary]]^2)</f>
        <v>861.44691825367283</v>
      </c>
      <c r="AO287" s="2">
        <f>SQRT((2+(($AL$3+Table4[[#This Row],[Red2]])/2)/256)*($AL$3-Table4[[#This Row],[Red2]])^2 + 4*($AM$3-Table4[[#This Row],[Green2]])^2 + (2+(255-(($AL$3+Table4[[#This Row],[Red2]])/2))/256 )*($AN$3-Table4[[#This Row],[Blue2]])^2)</f>
        <v>374.23254802328461</v>
      </c>
      <c r="AP287" s="2">
        <f>SQRT((2+(($AO$3+Table4[[#This Row],[Red]])/2)/256)*($AO$3-Table4[[#This Row],[Red]])^2 + 4*($AP$3-Table4[[#This Row],[Green]])^2 + (2+(255-(($AO$3+Table4[[#This Row],[Red]])/2))/256 )*($AQ$3-Table4[[#This Row],[Blue]])^2)</f>
        <v>272.61524942444066</v>
      </c>
      <c r="AQ287" s="2">
        <f>SQRT(Table4[[#This Row],[diffPrimary2]]^2+Table4[[#This Row],[diffSecondary2]]^2)</f>
        <v>463.00008014983109</v>
      </c>
      <c r="AR287" s="786">
        <f>MIN(Table4[[#This Row],[MinOrig]],Table4[[#This Row],[MinSwap]])</f>
        <v>463.00008014983109</v>
      </c>
      <c r="AS287" s="2">
        <v>24.428147187210101</v>
      </c>
      <c r="AX287" s="4"/>
    </row>
    <row r="288" spans="1:50" x14ac:dyDescent="0.25">
      <c r="A288" t="s">
        <v>277</v>
      </c>
      <c r="B288">
        <v>153</v>
      </c>
      <c r="C288">
        <v>0</v>
      </c>
      <c r="D288">
        <v>0</v>
      </c>
      <c r="E288" s="135"/>
      <c r="F288">
        <v>22</v>
      </c>
      <c r="G288">
        <v>36</v>
      </c>
      <c r="H288">
        <v>62</v>
      </c>
      <c r="I288" s="521"/>
      <c r="J288">
        <v>130</v>
      </c>
      <c r="K288">
        <v>130</v>
      </c>
      <c r="L288">
        <v>130</v>
      </c>
      <c r="M288" s="200"/>
      <c r="Q288" s="4"/>
      <c r="U288" s="4"/>
      <c r="Y288" s="4"/>
      <c r="Z288">
        <f t="shared" si="42"/>
        <v>127.5</v>
      </c>
      <c r="AA288">
        <f t="shared" si="43"/>
        <v>0</v>
      </c>
      <c r="AB288">
        <f t="shared" si="44"/>
        <v>0</v>
      </c>
      <c r="AC288" s="27"/>
      <c r="AD288">
        <f t="shared" si="45"/>
        <v>0</v>
      </c>
      <c r="AE288">
        <f t="shared" si="46"/>
        <v>0</v>
      </c>
      <c r="AF288">
        <f t="shared" si="47"/>
        <v>0</v>
      </c>
      <c r="AG288" s="4"/>
      <c r="AH288">
        <f t="shared" si="39"/>
        <v>127.5</v>
      </c>
      <c r="AI288">
        <f t="shared" si="40"/>
        <v>127.5</v>
      </c>
      <c r="AJ288">
        <f t="shared" si="41"/>
        <v>127.5</v>
      </c>
      <c r="AK288" s="32"/>
      <c r="AL288">
        <f>SQRT((2+(($AL$3+Table4[[#This Row],[Red]])/2)/256)*($AL$3-Table4[[#This Row],[Red]])^2 + 4*($AM$3-Table4[[#This Row],[Green]])^2 + (2+(255-(($AL$3+Table4[[#This Row],[Red]])/2))/256 )*($AN$3-Table4[[#This Row],[Blue]])^2)</f>
        <v>444.07058842035462</v>
      </c>
      <c r="AM288">
        <f>SQRT((2+(($AO$3+Table4[[#This Row],[Red2]])/2)/256)*($AO$3-Table4[[#This Row],[Red2]])^2 + 4*($AP$3-Table4[[#This Row],[Green2]])^2 + (2+(255-(($AO$3+Table4[[#This Row],[Red2]])/2))/256 )*($AQ$3-Table4[[#This Row],[Blue2]])^2)</f>
        <v>132.38054757025293</v>
      </c>
      <c r="AN288">
        <f>SQRT(Table4[[#This Row],[diffPrimary]]^2+Table4[[#This Row],[diffSecondary]]^2)</f>
        <v>463.38245205769283</v>
      </c>
      <c r="AO288" s="2">
        <f>SQRT((2+(($AL$3+Table4[[#This Row],[Red2]])/2)/256)*($AL$3-Table4[[#This Row],[Red2]])^2 + 4*($AM$3-Table4[[#This Row],[Green2]])^2 + (2+(255-(($AL$3+Table4[[#This Row],[Red2]])/2))/256 )*($AN$3-Table4[[#This Row],[Blue2]])^2)</f>
        <v>511.49830652517807</v>
      </c>
      <c r="AP288" s="2">
        <f>SQRT((2+(($AO$3+Table4[[#This Row],[Red]])/2)/256)*($AO$3-Table4[[#This Row],[Red]])^2 + 4*($AP$3-Table4[[#This Row],[Green]])^2 + (2+(255-(($AO$3+Table4[[#This Row],[Red]])/2))/256 )*($AQ$3-Table4[[#This Row],[Blue]])^2)</f>
        <v>231.97686862729438</v>
      </c>
      <c r="AQ288" s="2">
        <f>SQRT(Table4[[#This Row],[diffPrimary2]]^2+Table4[[#This Row],[diffSecondary2]]^2)</f>
        <v>561.64382410585631</v>
      </c>
      <c r="AR288" s="786">
        <f>MIN(Table4[[#This Row],[MinOrig]],Table4[[#This Row],[MinSwap]])</f>
        <v>463.38245205769283</v>
      </c>
      <c r="AS288" s="2">
        <v>59.0232673930375</v>
      </c>
      <c r="AX288" s="4"/>
    </row>
    <row r="289" spans="1:50" x14ac:dyDescent="0.25">
      <c r="A289" t="s">
        <v>55</v>
      </c>
      <c r="B289">
        <v>130</v>
      </c>
      <c r="C289">
        <v>16</v>
      </c>
      <c r="D289">
        <v>25</v>
      </c>
      <c r="E289" s="175"/>
      <c r="F289">
        <v>225</v>
      </c>
      <c r="G289">
        <v>0</v>
      </c>
      <c r="H289">
        <v>40</v>
      </c>
      <c r="I289" s="176"/>
      <c r="J289">
        <v>0</v>
      </c>
      <c r="K289">
        <v>0</v>
      </c>
      <c r="L289">
        <v>0</v>
      </c>
      <c r="M289" s="4"/>
      <c r="N289">
        <v>90</v>
      </c>
      <c r="O289">
        <v>100</v>
      </c>
      <c r="P289">
        <v>110</v>
      </c>
      <c r="Q289" s="177"/>
      <c r="R289">
        <v>210</v>
      </c>
      <c r="S289">
        <v>212</v>
      </c>
      <c r="T289">
        <v>214</v>
      </c>
      <c r="U289" s="178"/>
      <c r="Y289" s="4"/>
      <c r="Z289">
        <f t="shared" si="42"/>
        <v>127.5</v>
      </c>
      <c r="AA289">
        <f t="shared" si="43"/>
        <v>0</v>
      </c>
      <c r="AB289">
        <f t="shared" si="44"/>
        <v>0</v>
      </c>
      <c r="AC289" s="27"/>
      <c r="AD289">
        <f t="shared" si="45"/>
        <v>255</v>
      </c>
      <c r="AE289">
        <f t="shared" si="46"/>
        <v>0</v>
      </c>
      <c r="AF289">
        <f t="shared" si="47"/>
        <v>0</v>
      </c>
      <c r="AG289" s="5"/>
      <c r="AH289">
        <f t="shared" si="39"/>
        <v>0</v>
      </c>
      <c r="AI289">
        <f t="shared" si="40"/>
        <v>0</v>
      </c>
      <c r="AJ289">
        <f t="shared" si="41"/>
        <v>0</v>
      </c>
      <c r="AK289" s="4"/>
      <c r="AL289">
        <f>SQRT((2+(($AL$3+Table4[[#This Row],[Red]])/2)/256)*($AL$3-Table4[[#This Row],[Red]])^2 + 4*($AM$3-Table4[[#This Row],[Green]])^2 + (2+(255-(($AL$3+Table4[[#This Row],[Red]])/2))/256 )*($AN$3-Table4[[#This Row],[Blue]])^2)</f>
        <v>432.7653584435219</v>
      </c>
      <c r="AM289">
        <f>SQRT((2+(($AO$3+Table4[[#This Row],[Red2]])/2)/256)*($AO$3-Table4[[#This Row],[Red2]])^2 + 4*($AP$3-Table4[[#This Row],[Green2]])^2 + (2+(255-(($AO$3+Table4[[#This Row],[Red2]])/2))/256 )*($AQ$3-Table4[[#This Row],[Blue2]])^2)</f>
        <v>357.19454006622919</v>
      </c>
      <c r="AN289">
        <f>SQRT(Table4[[#This Row],[diffPrimary]]^2+Table4[[#This Row],[diffSecondary]]^2)</f>
        <v>561.13616433257539</v>
      </c>
      <c r="AO289" s="2">
        <f>SQRT((2+(($AL$3+Table4[[#This Row],[Red2]])/2)/256)*($AL$3-Table4[[#This Row],[Red2]])^2 + 4*($AM$3-Table4[[#This Row],[Green2]])^2 + (2+(255-(($AL$3+Table4[[#This Row],[Red2]])/2))/256 )*($AN$3-Table4[[#This Row],[Blue2]])^2)</f>
        <v>417.17801955520139</v>
      </c>
      <c r="AP289" s="2">
        <f>SQRT((2+(($AO$3+Table4[[#This Row],[Red]])/2)/256)*($AO$3-Table4[[#This Row],[Red]])^2 + 4*($AP$3-Table4[[#This Row],[Green]])^2 + (2+(255-(($AO$3+Table4[[#This Row],[Red]])/2))/256 )*($AQ$3-Table4[[#This Row],[Blue]])^2)</f>
        <v>202.06158173314392</v>
      </c>
      <c r="AQ289" s="2">
        <f>SQRT(Table4[[#This Row],[diffPrimary2]]^2+Table4[[#This Row],[diffSecondary2]]^2)</f>
        <v>463.53681926304409</v>
      </c>
      <c r="AR289" s="786">
        <f>MIN(Table4[[#This Row],[MinOrig]],Table4[[#This Row],[MinSwap]])</f>
        <v>463.53681926304409</v>
      </c>
      <c r="AS289" s="2">
        <v>90.3520674569763</v>
      </c>
      <c r="AX289" s="4"/>
    </row>
    <row r="290" spans="1:50" x14ac:dyDescent="0.25">
      <c r="A290" t="s">
        <v>63</v>
      </c>
      <c r="B290">
        <v>0</v>
      </c>
      <c r="C290">
        <v>95</v>
      </c>
      <c r="D290">
        <v>47</v>
      </c>
      <c r="E290" s="202"/>
      <c r="F290">
        <v>0</v>
      </c>
      <c r="G290">
        <v>0</v>
      </c>
      <c r="H290">
        <v>0</v>
      </c>
      <c r="I290" s="4"/>
      <c r="J290">
        <v>255</v>
      </c>
      <c r="K290">
        <v>255</v>
      </c>
      <c r="L290">
        <v>255</v>
      </c>
      <c r="M290" s="3"/>
      <c r="Q290" s="4"/>
      <c r="U290" s="4"/>
      <c r="Y290" s="4"/>
      <c r="Z290">
        <f t="shared" si="42"/>
        <v>0</v>
      </c>
      <c r="AA290">
        <f t="shared" si="43"/>
        <v>127.5</v>
      </c>
      <c r="AB290">
        <f t="shared" si="44"/>
        <v>0</v>
      </c>
      <c r="AC290" s="34"/>
      <c r="AD290">
        <f t="shared" si="45"/>
        <v>0</v>
      </c>
      <c r="AE290">
        <f t="shared" si="46"/>
        <v>0</v>
      </c>
      <c r="AF290">
        <f t="shared" si="47"/>
        <v>0</v>
      </c>
      <c r="AG290" s="4"/>
      <c r="AH290">
        <f t="shared" si="39"/>
        <v>255</v>
      </c>
      <c r="AI290">
        <f t="shared" si="40"/>
        <v>255</v>
      </c>
      <c r="AJ290">
        <f t="shared" si="41"/>
        <v>255</v>
      </c>
      <c r="AK290" s="3"/>
      <c r="AL290">
        <f>SQRT((2+(($AL$3+Table4[[#This Row],[Red]])/2)/256)*($AL$3-Table4[[#This Row],[Red]])^2 + 4*($AM$3-Table4[[#This Row],[Green]])^2 + (2+(255-(($AL$3+Table4[[#This Row],[Red]])/2))/256 )*($AN$3-Table4[[#This Row],[Blue]])^2)</f>
        <v>465.13834887455795</v>
      </c>
      <c r="AM290">
        <f>SQRT((2+(($AO$3+Table4[[#This Row],[Red2]])/2)/256)*($AO$3-Table4[[#This Row],[Red2]])^2 + 4*($AP$3-Table4[[#This Row],[Green2]])^2 + (2+(255-(($AO$3+Table4[[#This Row],[Red2]])/2))/256 )*($AQ$3-Table4[[#This Row],[Blue2]])^2)</f>
        <v>0</v>
      </c>
      <c r="AN290">
        <f>SQRT(Table4[[#This Row],[diffPrimary]]^2+Table4[[#This Row],[diffSecondary]]^2)</f>
        <v>465.13834887455795</v>
      </c>
      <c r="AO290" s="2">
        <f>SQRT((2+(($AL$3+Table4[[#This Row],[Red2]])/2)/256)*($AL$3-Table4[[#This Row],[Red2]])^2 + 4*($AM$3-Table4[[#This Row],[Green2]])^2 + (2+(255-(($AL$3+Table4[[#This Row],[Red2]])/2))/256 )*($AN$3-Table4[[#This Row],[Blue2]])^2)</f>
        <v>574.92216694686158</v>
      </c>
      <c r="AP290" s="2">
        <f>SQRT((2+(($AO$3+Table4[[#This Row],[Red]])/2)/256)*($AO$3-Table4[[#This Row],[Red]])^2 + 4*($AP$3-Table4[[#This Row],[Green]])^2 + (2+(255-(($AO$3+Table4[[#This Row],[Red]])/2))/256 )*($AQ$3-Table4[[#This Row],[Blue]])^2)</f>
        <v>206.68423039445946</v>
      </c>
      <c r="AQ290" s="2">
        <f>SQRT(Table4[[#This Row],[diffPrimary2]]^2+Table4[[#This Row],[diffSecondary2]]^2)</f>
        <v>610.94506229334979</v>
      </c>
      <c r="AR290" s="786">
        <f>MIN(Table4[[#This Row],[MinOrig]],Table4[[#This Row],[MinSwap]])</f>
        <v>465.13834887455795</v>
      </c>
      <c r="AS290" s="2">
        <v>34.161381705077403</v>
      </c>
      <c r="AX290" s="4"/>
    </row>
    <row r="291" spans="1:50" x14ac:dyDescent="0.25">
      <c r="A291" t="s">
        <v>209</v>
      </c>
      <c r="B291">
        <v>79</v>
      </c>
      <c r="C291">
        <v>45</v>
      </c>
      <c r="D291">
        <v>139</v>
      </c>
      <c r="E291" s="418"/>
      <c r="F291">
        <v>255</v>
      </c>
      <c r="G291">
        <v>255</v>
      </c>
      <c r="H291">
        <v>255</v>
      </c>
      <c r="I291" s="3"/>
      <c r="J291">
        <v>255</v>
      </c>
      <c r="K291">
        <v>100</v>
      </c>
      <c r="L291">
        <v>24</v>
      </c>
      <c r="M291" s="419"/>
      <c r="Q291" s="4"/>
      <c r="U291" s="4"/>
      <c r="Y291" s="4"/>
      <c r="Z291">
        <f t="shared" si="42"/>
        <v>127.5</v>
      </c>
      <c r="AA291">
        <f t="shared" si="43"/>
        <v>0</v>
      </c>
      <c r="AB291">
        <f t="shared" si="44"/>
        <v>127.5</v>
      </c>
      <c r="AC291" s="30"/>
      <c r="AD291">
        <f t="shared" si="45"/>
        <v>255</v>
      </c>
      <c r="AE291">
        <f t="shared" si="46"/>
        <v>255</v>
      </c>
      <c r="AF291">
        <f t="shared" si="47"/>
        <v>255</v>
      </c>
      <c r="AG291" s="3"/>
      <c r="AH291">
        <f t="shared" si="39"/>
        <v>255</v>
      </c>
      <c r="AI291">
        <f t="shared" si="40"/>
        <v>127.5</v>
      </c>
      <c r="AJ291">
        <f t="shared" si="41"/>
        <v>0</v>
      </c>
      <c r="AK291" s="28"/>
      <c r="AL291">
        <f>SQRT((2+(($AL$3+Table4[[#This Row],[Red]])/2)/256)*($AL$3-Table4[[#This Row],[Red]])^2 + 4*($AM$3-Table4[[#This Row],[Green]])^2 + (2+(255-(($AL$3+Table4[[#This Row],[Red]])/2))/256 )*($AN$3-Table4[[#This Row],[Blue]])^2)</f>
        <v>479.41901688397803</v>
      </c>
      <c r="AM291">
        <f>SQRT((2+(($AO$3+Table4[[#This Row],[Red2]])/2)/256)*($AO$3-Table4[[#This Row],[Red2]])^2 + 4*($AP$3-Table4[[#This Row],[Green2]])^2 + (2+(255-(($AO$3+Table4[[#This Row],[Red2]])/2))/256 )*($AQ$3-Table4[[#This Row],[Blue2]])^2)</f>
        <v>764.83396635724148</v>
      </c>
      <c r="AN291">
        <f>SQRT(Table4[[#This Row],[diffPrimary]]^2+Table4[[#This Row],[diffSecondary]]^2)</f>
        <v>902.67025532236858</v>
      </c>
      <c r="AO291" s="2">
        <f>SQRT((2+(($AL$3+Table4[[#This Row],[Red2]])/2)/256)*($AL$3-Table4[[#This Row],[Red2]])^2 + 4*($AM$3-Table4[[#This Row],[Green2]])^2 + (2+(255-(($AL$3+Table4[[#This Row],[Red2]])/2))/256 )*($AN$3-Table4[[#This Row],[Blue2]])^2)</f>
        <v>374.23254802328461</v>
      </c>
      <c r="AP291" s="2">
        <f>SQRT((2+(($AO$3+Table4[[#This Row],[Red]])/2)/256)*($AO$3-Table4[[#This Row],[Red]])^2 + 4*($AP$3-Table4[[#This Row],[Green]])^2 + (2+(255-(($AO$3+Table4[[#This Row],[Red]])/2))/256 )*($AQ$3-Table4[[#This Row],[Blue]])^2)</f>
        <v>276.49832588778906</v>
      </c>
      <c r="AQ291" s="2">
        <f>SQRT(Table4[[#This Row],[diffPrimary2]]^2+Table4[[#This Row],[diffSecondary2]]^2)</f>
        <v>465.2970279496206</v>
      </c>
      <c r="AR291" s="786">
        <f>MIN(Table4[[#This Row],[MinOrig]],Table4[[#This Row],[MinSwap]])</f>
        <v>465.2970279496206</v>
      </c>
      <c r="AS291" s="2">
        <v>13.041849705850799</v>
      </c>
      <c r="AX291" s="4"/>
    </row>
    <row r="292" spans="1:50" x14ac:dyDescent="0.25">
      <c r="A292" t="s">
        <v>53</v>
      </c>
      <c r="B292">
        <v>0</v>
      </c>
      <c r="C292">
        <v>103</v>
      </c>
      <c r="D292">
        <v>71</v>
      </c>
      <c r="E292" s="172"/>
      <c r="F292">
        <v>0</v>
      </c>
      <c r="G292">
        <v>0</v>
      </c>
      <c r="H292">
        <v>0</v>
      </c>
      <c r="I292" s="4"/>
      <c r="J292">
        <v>255</v>
      </c>
      <c r="K292">
        <v>255</v>
      </c>
      <c r="L292">
        <v>255</v>
      </c>
      <c r="M292" s="3"/>
      <c r="Q292" s="4"/>
      <c r="U292" s="4"/>
      <c r="Y292" s="4"/>
      <c r="Z292">
        <f t="shared" si="42"/>
        <v>0</v>
      </c>
      <c r="AA292">
        <f t="shared" si="43"/>
        <v>127.5</v>
      </c>
      <c r="AB292">
        <f t="shared" si="44"/>
        <v>127.5</v>
      </c>
      <c r="AC292" s="24"/>
      <c r="AD292">
        <f t="shared" si="45"/>
        <v>0</v>
      </c>
      <c r="AE292">
        <f t="shared" si="46"/>
        <v>0</v>
      </c>
      <c r="AF292">
        <f t="shared" si="47"/>
        <v>0</v>
      </c>
      <c r="AG292" s="4"/>
      <c r="AH292">
        <f t="shared" ref="AH292:AH321" si="48">ROUND(J292/255*$AA$2,0)*$AC$2/$AA$2</f>
        <v>255</v>
      </c>
      <c r="AI292">
        <f t="shared" ref="AI292:AI321" si="49">ROUND(K292/255*$AA$2,0)*$AC$2/$AA$2</f>
        <v>255</v>
      </c>
      <c r="AJ292">
        <f t="shared" ref="AJ292:AJ321" si="50">ROUND(L292/255*$AA$2,0)*$AC$2/$AA$2</f>
        <v>255</v>
      </c>
      <c r="AK292" s="3"/>
      <c r="AL292">
        <f>SQRT((2+(($AL$3+Table4[[#This Row],[Red]])/2)/256)*($AL$3-Table4[[#This Row],[Red]])^2 + 4*($AM$3-Table4[[#This Row],[Green]])^2 + (2+(255-(($AL$3+Table4[[#This Row],[Red]])/2))/256 )*($AN$3-Table4[[#This Row],[Blue]])^2)</f>
        <v>465.45048323505904</v>
      </c>
      <c r="AM292">
        <f>SQRT((2+(($AO$3+Table4[[#This Row],[Red2]])/2)/256)*($AO$3-Table4[[#This Row],[Red2]])^2 + 4*($AP$3-Table4[[#This Row],[Green2]])^2 + (2+(255-(($AO$3+Table4[[#This Row],[Red2]])/2))/256 )*($AQ$3-Table4[[#This Row],[Blue2]])^2)</f>
        <v>0</v>
      </c>
      <c r="AN292">
        <f>SQRT(Table4[[#This Row],[diffPrimary]]^2+Table4[[#This Row],[diffSecondary]]^2)</f>
        <v>465.45048323505904</v>
      </c>
      <c r="AO292" s="2">
        <f>SQRT((2+(($AL$3+Table4[[#This Row],[Red2]])/2)/256)*($AL$3-Table4[[#This Row],[Red2]])^2 + 4*($AM$3-Table4[[#This Row],[Green2]])^2 + (2+(255-(($AL$3+Table4[[#This Row],[Red2]])/2))/256 )*($AN$3-Table4[[#This Row],[Blue2]])^2)</f>
        <v>574.92216694686158</v>
      </c>
      <c r="AP292" s="2">
        <f>SQRT((2+(($AO$3+Table4[[#This Row],[Red]])/2)/256)*($AO$3-Table4[[#This Row],[Red]])^2 + 4*($AP$3-Table4[[#This Row],[Green]])^2 + (2+(255-(($AO$3+Table4[[#This Row],[Red]])/2))/256 )*($AQ$3-Table4[[#This Row],[Blue]])^2)</f>
        <v>239.87352624612413</v>
      </c>
      <c r="AQ292" s="2">
        <f>SQRT(Table4[[#This Row],[diffPrimary2]]^2+Table4[[#This Row],[diffSecondary2]]^2)</f>
        <v>622.95650461378523</v>
      </c>
      <c r="AR292" s="786">
        <f>MIN(Table4[[#This Row],[MinOrig]],Table4[[#This Row],[MinSwap]])</f>
        <v>465.45048323505904</v>
      </c>
      <c r="AS292" s="2">
        <v>14.4135353053996</v>
      </c>
      <c r="AX292" s="4"/>
    </row>
    <row r="293" spans="1:50" x14ac:dyDescent="0.25">
      <c r="A293" t="s">
        <v>115</v>
      </c>
      <c r="B293">
        <v>179</v>
      </c>
      <c r="C293">
        <v>163</v>
      </c>
      <c r="D293">
        <v>105</v>
      </c>
      <c r="E293" s="265"/>
      <c r="F293">
        <v>234</v>
      </c>
      <c r="G293">
        <v>171</v>
      </c>
      <c r="H293">
        <v>0</v>
      </c>
      <c r="I293" s="288"/>
      <c r="J293">
        <v>134</v>
      </c>
      <c r="K293">
        <v>117</v>
      </c>
      <c r="L293">
        <v>77</v>
      </c>
      <c r="M293" s="289"/>
      <c r="N293">
        <v>128</v>
      </c>
      <c r="O293">
        <v>128</v>
      </c>
      <c r="P293">
        <v>128</v>
      </c>
      <c r="Q293" s="32"/>
      <c r="R293">
        <v>0</v>
      </c>
      <c r="S293">
        <v>0</v>
      </c>
      <c r="T293">
        <v>0</v>
      </c>
      <c r="U293" s="4"/>
      <c r="Y293" s="4"/>
      <c r="Z293">
        <f t="shared" si="42"/>
        <v>127.5</v>
      </c>
      <c r="AA293">
        <f t="shared" si="43"/>
        <v>127.5</v>
      </c>
      <c r="AB293">
        <f t="shared" si="44"/>
        <v>127.5</v>
      </c>
      <c r="AC293" s="32"/>
      <c r="AD293">
        <f t="shared" si="45"/>
        <v>255</v>
      </c>
      <c r="AE293">
        <f t="shared" si="46"/>
        <v>127.5</v>
      </c>
      <c r="AF293">
        <f t="shared" si="47"/>
        <v>0</v>
      </c>
      <c r="AG293" s="28"/>
      <c r="AH293">
        <f t="shared" si="48"/>
        <v>127.5</v>
      </c>
      <c r="AI293">
        <f t="shared" si="49"/>
        <v>127.5</v>
      </c>
      <c r="AJ293">
        <f t="shared" si="50"/>
        <v>127.5</v>
      </c>
      <c r="AK293" s="32"/>
      <c r="AL293">
        <f>SQRT((2+(($AL$3+Table4[[#This Row],[Red]])/2)/256)*($AL$3-Table4[[#This Row],[Red]])^2 + 4*($AM$3-Table4[[#This Row],[Green]])^2 + (2+(255-(($AL$3+Table4[[#This Row],[Red]])/2))/256 )*($AN$3-Table4[[#This Row],[Blue]])^2)</f>
        <v>217.23394287610765</v>
      </c>
      <c r="AM293">
        <f>SQRT((2+(($AO$3+Table4[[#This Row],[Red2]])/2)/256)*($AO$3-Table4[[#This Row],[Red2]])^2 + 4*($AP$3-Table4[[#This Row],[Green2]])^2 + (2+(255-(($AO$3+Table4[[#This Row],[Red2]])/2))/256 )*($AQ$3-Table4[[#This Row],[Blue2]])^2)</f>
        <v>501.49895625514517</v>
      </c>
      <c r="AN293">
        <f>SQRT(Table4[[#This Row],[diffPrimary]]^2+Table4[[#This Row],[diffSecondary]]^2)</f>
        <v>546.52702500654073</v>
      </c>
      <c r="AO293" s="2">
        <f>SQRT((2+(($AL$3+Table4[[#This Row],[Red2]])/2)/256)*($AL$3-Table4[[#This Row],[Red2]])^2 + 4*($AM$3-Table4[[#This Row],[Green2]])^2 + (2+(255-(($AL$3+Table4[[#This Row],[Red2]])/2))/256 )*($AN$3-Table4[[#This Row],[Blue2]])^2)</f>
        <v>76.988242304425938</v>
      </c>
      <c r="AP293" s="2">
        <f>SQRT((2+(($AO$3+Table4[[#This Row],[Red]])/2)/256)*($AO$3-Table4[[#This Row],[Red]])^2 + 4*($AP$3-Table4[[#This Row],[Green]])^2 + (2+(255-(($AO$3+Table4[[#This Row],[Red]])/2))/256 )*($AQ$3-Table4[[#This Row],[Blue]])^2)</f>
        <v>459.06135125792281</v>
      </c>
      <c r="AQ293" s="2">
        <f>SQRT(Table4[[#This Row],[diffPrimary2]]^2+Table4[[#This Row],[diffSecondary2]]^2)</f>
        <v>465.47235543249502</v>
      </c>
      <c r="AR293" s="786">
        <f>MIN(Table4[[#This Row],[MinOrig]],Table4[[#This Row],[MinSwap]])</f>
        <v>465.47235543249502</v>
      </c>
      <c r="AS293" s="2">
        <v>106.384235057409</v>
      </c>
      <c r="AX293" s="4"/>
    </row>
    <row r="294" spans="1:50" x14ac:dyDescent="0.25">
      <c r="A294" t="s">
        <v>87</v>
      </c>
      <c r="B294">
        <v>0</v>
      </c>
      <c r="C294">
        <v>51</v>
      </c>
      <c r="D294">
        <v>102</v>
      </c>
      <c r="E294" s="82"/>
      <c r="F294">
        <v>204</v>
      </c>
      <c r="G294">
        <v>0</v>
      </c>
      <c r="H294">
        <v>0</v>
      </c>
      <c r="I294" s="109"/>
      <c r="J294">
        <v>138</v>
      </c>
      <c r="K294">
        <v>141</v>
      </c>
      <c r="L294">
        <v>143</v>
      </c>
      <c r="M294" s="66"/>
      <c r="N294">
        <v>204</v>
      </c>
      <c r="O294">
        <v>204</v>
      </c>
      <c r="P294">
        <v>204</v>
      </c>
      <c r="Q294" s="130"/>
      <c r="U294" s="4"/>
      <c r="Y294" s="4"/>
      <c r="Z294">
        <f t="shared" si="42"/>
        <v>0</v>
      </c>
      <c r="AA294">
        <f t="shared" si="43"/>
        <v>0</v>
      </c>
      <c r="AB294">
        <f t="shared" si="44"/>
        <v>127.5</v>
      </c>
      <c r="AC294" s="26"/>
      <c r="AD294">
        <f t="shared" si="45"/>
        <v>255</v>
      </c>
      <c r="AE294">
        <f t="shared" si="46"/>
        <v>0</v>
      </c>
      <c r="AF294">
        <f t="shared" si="47"/>
        <v>0</v>
      </c>
      <c r="AG294" s="5"/>
      <c r="AH294">
        <f t="shared" si="48"/>
        <v>127.5</v>
      </c>
      <c r="AI294">
        <f t="shared" si="49"/>
        <v>127.5</v>
      </c>
      <c r="AJ294">
        <f t="shared" si="50"/>
        <v>127.5</v>
      </c>
      <c r="AK294" s="32"/>
      <c r="AL294">
        <f>SQRT((2+(($AL$3+Table4[[#This Row],[Red]])/2)/256)*($AL$3-Table4[[#This Row],[Red]])^2 + 4*($AM$3-Table4[[#This Row],[Green]])^2 + (2+(255-(($AL$3+Table4[[#This Row],[Red]])/2))/256 )*($AN$3-Table4[[#This Row],[Blue]])^2)</f>
        <v>532.24916884329184</v>
      </c>
      <c r="AM294">
        <f>SQRT((2+(($AO$3+Table4[[#This Row],[Red2]])/2)/256)*($AO$3-Table4[[#This Row],[Red2]])^2 + 4*($AP$3-Table4[[#This Row],[Green2]])^2 + (2+(255-(($AO$3+Table4[[#This Row],[Red2]])/2))/256 )*($AQ$3-Table4[[#This Row],[Blue2]])^2)</f>
        <v>315.93254818077861</v>
      </c>
      <c r="AN294">
        <f>SQRT(Table4[[#This Row],[diffPrimary]]^2+Table4[[#This Row],[diffSecondary]]^2)</f>
        <v>618.95278716100393</v>
      </c>
      <c r="AO294" s="2">
        <f>SQRT((2+(($AL$3+Table4[[#This Row],[Red2]])/2)/256)*($AL$3-Table4[[#This Row],[Red2]])^2 + 4*($AM$3-Table4[[#This Row],[Green2]])^2 + (2+(255-(($AL$3+Table4[[#This Row],[Red2]])/2))/256 )*($AN$3-Table4[[#This Row],[Blue2]])^2)</f>
        <v>419.08681184138328</v>
      </c>
      <c r="AP294" s="2">
        <f>SQRT((2+(($AO$3+Table4[[#This Row],[Red]])/2)/256)*($AO$3-Table4[[#This Row],[Red]])^2 + 4*($AP$3-Table4[[#This Row],[Green]])^2 + (2+(255-(($AO$3+Table4[[#This Row],[Red]])/2))/256 )*($AQ$3-Table4[[#This Row],[Blue]])^2)</f>
        <v>203.90036629442332</v>
      </c>
      <c r="AQ294" s="2">
        <f>SQRT(Table4[[#This Row],[diffPrimary2]]^2+Table4[[#This Row],[diffSecondary2]]^2)</f>
        <v>466.0569871103479</v>
      </c>
      <c r="AR294" s="786">
        <f>MIN(Table4[[#This Row],[MinOrig]],Table4[[#This Row],[MinSwap]])</f>
        <v>466.0569871103479</v>
      </c>
      <c r="AS294" s="2">
        <v>40.994997789364497</v>
      </c>
      <c r="AX294" s="4"/>
    </row>
    <row r="295" spans="1:50" x14ac:dyDescent="0.25">
      <c r="A295" t="s">
        <v>23</v>
      </c>
      <c r="B295">
        <v>0</v>
      </c>
      <c r="C295">
        <v>90</v>
      </c>
      <c r="D295">
        <v>67</v>
      </c>
      <c r="E295" s="101"/>
      <c r="F295">
        <v>22</v>
      </c>
      <c r="G295">
        <v>155</v>
      </c>
      <c r="H295">
        <v>98</v>
      </c>
      <c r="I295" s="102"/>
      <c r="J295">
        <v>191</v>
      </c>
      <c r="K295">
        <v>13</v>
      </c>
      <c r="L295">
        <v>62</v>
      </c>
      <c r="M295" s="103"/>
      <c r="N295">
        <v>177</v>
      </c>
      <c r="O295">
        <v>179</v>
      </c>
      <c r="P295">
        <v>179</v>
      </c>
      <c r="Q295" s="67"/>
      <c r="U295" s="4"/>
      <c r="Y295" s="4"/>
      <c r="Z295">
        <f t="shared" si="42"/>
        <v>0</v>
      </c>
      <c r="AA295">
        <f t="shared" si="43"/>
        <v>127.5</v>
      </c>
      <c r="AB295">
        <f t="shared" si="44"/>
        <v>127.5</v>
      </c>
      <c r="AC295" s="24"/>
      <c r="AD295">
        <f t="shared" si="45"/>
        <v>0</v>
      </c>
      <c r="AE295">
        <f t="shared" si="46"/>
        <v>127.5</v>
      </c>
      <c r="AF295">
        <f t="shared" si="47"/>
        <v>127.5</v>
      </c>
      <c r="AG295" s="24"/>
      <c r="AH295">
        <f t="shared" si="48"/>
        <v>127.5</v>
      </c>
      <c r="AI295">
        <f t="shared" si="49"/>
        <v>0</v>
      </c>
      <c r="AJ295">
        <f t="shared" si="50"/>
        <v>0</v>
      </c>
      <c r="AK295" s="27"/>
      <c r="AL295">
        <f>SQRT((2+(($AL$3+Table4[[#This Row],[Red]])/2)/256)*($AL$3-Table4[[#This Row],[Red]])^2 + 4*($AM$3-Table4[[#This Row],[Green]])^2 + (2+(255-(($AL$3+Table4[[#This Row],[Red]])/2))/256 )*($AN$3-Table4[[#This Row],[Blue]])^2)</f>
        <v>475.97187991387682</v>
      </c>
      <c r="AM295">
        <f>SQRT((2+(($AO$3+Table4[[#This Row],[Red2]])/2)/256)*($AO$3-Table4[[#This Row],[Red2]])^2 + 4*($AP$3-Table4[[#This Row],[Green2]])^2 + (2+(255-(($AO$3+Table4[[#This Row],[Red2]])/2))/256 )*($AQ$3-Table4[[#This Row],[Blue2]])^2)</f>
        <v>354.19007520680191</v>
      </c>
      <c r="AN295">
        <f>SQRT(Table4[[#This Row],[diffPrimary]]^2+Table4[[#This Row],[diffSecondary]]^2)</f>
        <v>593.2957439959855</v>
      </c>
      <c r="AO295" s="2">
        <f>SQRT((2+(($AL$3+Table4[[#This Row],[Red2]])/2)/256)*($AL$3-Table4[[#This Row],[Red2]])^2 + 4*($AM$3-Table4[[#This Row],[Green2]])^2 + (2+(255-(($AL$3+Table4[[#This Row],[Red2]])/2))/256 )*($AN$3-Table4[[#This Row],[Blue2]])^2)</f>
        <v>414.15910901261725</v>
      </c>
      <c r="AP295" s="2">
        <f>SQRT((2+(($AO$3+Table4[[#This Row],[Red]])/2)/256)*($AO$3-Table4[[#This Row],[Red]])^2 + 4*($AP$3-Table4[[#This Row],[Green]])^2 + (2+(255-(($AO$3+Table4[[#This Row],[Red]])/2))/256 )*($AQ$3-Table4[[#This Row],[Blue]])^2)</f>
        <v>214.12488142144994</v>
      </c>
      <c r="AQ295" s="2">
        <f>SQRT(Table4[[#This Row],[diffPrimary2]]^2+Table4[[#This Row],[diffSecondary2]]^2)</f>
        <v>466.23731341654218</v>
      </c>
      <c r="AR295" s="786">
        <f>MIN(Table4[[#This Row],[MinOrig]],Table4[[#This Row],[MinSwap]])</f>
        <v>466.23731341654218</v>
      </c>
      <c r="AS295" s="2">
        <v>125.461406229665</v>
      </c>
      <c r="AX295" s="4"/>
    </row>
    <row r="296" spans="1:50" x14ac:dyDescent="0.25">
      <c r="A296" t="s">
        <v>451</v>
      </c>
      <c r="B296">
        <v>161</v>
      </c>
      <c r="C296">
        <v>31</v>
      </c>
      <c r="D296">
        <v>53</v>
      </c>
      <c r="E296" s="515"/>
      <c r="F296">
        <v>83</v>
      </c>
      <c r="G296">
        <v>86</v>
      </c>
      <c r="H296">
        <v>91</v>
      </c>
      <c r="I296" s="516"/>
      <c r="M296" s="4"/>
      <c r="Q296" s="4"/>
      <c r="U296" s="4"/>
      <c r="Y296" s="4"/>
      <c r="Z296">
        <f t="shared" si="42"/>
        <v>127.5</v>
      </c>
      <c r="AA296">
        <f t="shared" si="43"/>
        <v>0</v>
      </c>
      <c r="AB296">
        <f t="shared" si="44"/>
        <v>0</v>
      </c>
      <c r="AC296" s="27"/>
      <c r="AD296">
        <f t="shared" si="45"/>
        <v>127.5</v>
      </c>
      <c r="AE296">
        <f t="shared" si="46"/>
        <v>127.5</v>
      </c>
      <c r="AF296">
        <f t="shared" si="47"/>
        <v>127.5</v>
      </c>
      <c r="AG296" s="32"/>
      <c r="AH296">
        <f t="shared" si="48"/>
        <v>0</v>
      </c>
      <c r="AI296">
        <f t="shared" si="49"/>
        <v>0</v>
      </c>
      <c r="AJ296">
        <f t="shared" si="50"/>
        <v>0</v>
      </c>
      <c r="AK296" s="4"/>
      <c r="AL296">
        <f>SQRT((2+(($AL$3+Table4[[#This Row],[Red]])/2)/256)*($AL$3-Table4[[#This Row],[Red]])^2 + 4*($AM$3-Table4[[#This Row],[Green]])^2 + (2+(255-(($AL$3+Table4[[#This Row],[Red]])/2))/256 )*($AN$3-Table4[[#This Row],[Blue]])^2)</f>
        <v>389.985852107163</v>
      </c>
      <c r="AM296">
        <f>SQRT((2+(($AO$3+Table4[[#This Row],[Red2]])/2)/256)*($AO$3-Table4[[#This Row],[Red2]])^2 + 4*($AP$3-Table4[[#This Row],[Green2]])^2 + (2+(255-(($AO$3+Table4[[#This Row],[Red2]])/2))/256 )*($AQ$3-Table4[[#This Row],[Blue2]])^2)</f>
        <v>260.66644604503665</v>
      </c>
      <c r="AN296">
        <f>SQRT(Table4[[#This Row],[diffPrimary]]^2+Table4[[#This Row],[diffSecondary]]^2)</f>
        <v>469.07990890412265</v>
      </c>
      <c r="AO296" s="2">
        <f>SQRT((2+(($AL$3+Table4[[#This Row],[Red2]])/2)/256)*($AL$3-Table4[[#This Row],[Red2]])^2 + 4*($AM$3-Table4[[#This Row],[Green2]])^2 + (2+(255-(($AL$3+Table4[[#This Row],[Red2]])/2))/256 )*($AN$3-Table4[[#This Row],[Blue2]])^2)</f>
        <v>393.30136147425168</v>
      </c>
      <c r="AP296" s="2">
        <f>SQRT((2+(($AO$3+Table4[[#This Row],[Red]])/2)/256)*($AO$3-Table4[[#This Row],[Red]])^2 + 4*($AP$3-Table4[[#This Row],[Green]])^2 + (2+(255-(($AO$3+Table4[[#This Row],[Red]])/2))/256 )*($AQ$3-Table4[[#This Row],[Blue]])^2)</f>
        <v>267.15102090156796</v>
      </c>
      <c r="AQ296" s="2">
        <f>SQRT(Table4[[#This Row],[diffPrimary2]]^2+Table4[[#This Row],[diffSecondary2]]^2)</f>
        <v>475.45307750213374</v>
      </c>
      <c r="AR296" s="786">
        <f>MIN(Table4[[#This Row],[MinOrig]],Table4[[#This Row],[MinSwap]])</f>
        <v>469.07990890412265</v>
      </c>
      <c r="AS296" s="2">
        <v>58.340377178888701</v>
      </c>
      <c r="AX296" s="4"/>
    </row>
    <row r="297" spans="1:50" x14ac:dyDescent="0.25">
      <c r="A297" t="s">
        <v>111</v>
      </c>
      <c r="B297">
        <v>96</v>
      </c>
      <c r="C297">
        <v>45</v>
      </c>
      <c r="D297">
        <v>137</v>
      </c>
      <c r="E297" s="280"/>
      <c r="F297">
        <v>255</v>
      </c>
      <c r="G297">
        <v>255</v>
      </c>
      <c r="H297">
        <v>255</v>
      </c>
      <c r="I297" s="3"/>
      <c r="J297">
        <v>0</v>
      </c>
      <c r="K297">
        <v>0</v>
      </c>
      <c r="L297">
        <v>0</v>
      </c>
      <c r="M297" s="4"/>
      <c r="Q297" s="4"/>
      <c r="U297" s="4"/>
      <c r="Y297" s="4"/>
      <c r="Z297">
        <f t="shared" si="42"/>
        <v>127.5</v>
      </c>
      <c r="AA297">
        <f t="shared" si="43"/>
        <v>0</v>
      </c>
      <c r="AB297">
        <f t="shared" si="44"/>
        <v>127.5</v>
      </c>
      <c r="AC297" s="30"/>
      <c r="AD297">
        <f t="shared" si="45"/>
        <v>255</v>
      </c>
      <c r="AE297">
        <f t="shared" si="46"/>
        <v>255</v>
      </c>
      <c r="AF297">
        <f t="shared" si="47"/>
        <v>255</v>
      </c>
      <c r="AG297" s="3"/>
      <c r="AH297">
        <f t="shared" si="48"/>
        <v>0</v>
      </c>
      <c r="AI297">
        <f t="shared" si="49"/>
        <v>0</v>
      </c>
      <c r="AJ297">
        <f t="shared" si="50"/>
        <v>0</v>
      </c>
      <c r="AK297" s="4"/>
      <c r="AL297">
        <f>SQRT((2+(($AL$3+Table4[[#This Row],[Red]])/2)/256)*($AL$3-Table4[[#This Row],[Red]])^2 + 4*($AM$3-Table4[[#This Row],[Green]])^2 + (2+(255-(($AL$3+Table4[[#This Row],[Red]])/2))/256 )*($AN$3-Table4[[#This Row],[Blue]])^2)</f>
        <v>462.23366909361977</v>
      </c>
      <c r="AM297">
        <f>SQRT((2+(($AO$3+Table4[[#This Row],[Red2]])/2)/256)*($AO$3-Table4[[#This Row],[Red2]])^2 + 4*($AP$3-Table4[[#This Row],[Green2]])^2 + (2+(255-(($AO$3+Table4[[#This Row],[Red2]])/2))/256 )*($AQ$3-Table4[[#This Row],[Blue2]])^2)</f>
        <v>764.83396635724148</v>
      </c>
      <c r="AN297">
        <f>SQRT(Table4[[#This Row],[diffPrimary]]^2+Table4[[#This Row],[diffSecondary]]^2)</f>
        <v>893.66154719642043</v>
      </c>
      <c r="AO297" s="2">
        <f>SQRT((2+(($AL$3+Table4[[#This Row],[Red2]])/2)/256)*($AL$3-Table4[[#This Row],[Red2]])^2 + 4*($AM$3-Table4[[#This Row],[Green2]])^2 + (2+(255-(($AL$3+Table4[[#This Row],[Red2]])/2))/256 )*($AN$3-Table4[[#This Row],[Blue2]])^2)</f>
        <v>374.23254802328461</v>
      </c>
      <c r="AP297" s="2">
        <f>SQRT((2+(($AO$3+Table4[[#This Row],[Red]])/2)/256)*($AO$3-Table4[[#This Row],[Red]])^2 + 4*($AP$3-Table4[[#This Row],[Green]])^2 + (2+(255-(($AO$3+Table4[[#This Row],[Red]])/2))/256 )*($AQ$3-Table4[[#This Row],[Blue]])^2)</f>
        <v>284.56018009157572</v>
      </c>
      <c r="AQ297" s="2">
        <f>SQRT(Table4[[#This Row],[diffPrimary2]]^2+Table4[[#This Row],[diffSecondary2]]^2)</f>
        <v>470.13242399748395</v>
      </c>
      <c r="AR297" s="786">
        <f>MIN(Table4[[#This Row],[MinOrig]],Table4[[#This Row],[MinSwap]])</f>
        <v>470.13242399748395</v>
      </c>
      <c r="AS297" s="2">
        <v>15.808917578379599</v>
      </c>
      <c r="AX297" s="4"/>
    </row>
    <row r="298" spans="1:50" x14ac:dyDescent="0.25">
      <c r="A298" t="s">
        <v>92</v>
      </c>
      <c r="B298">
        <v>219</v>
      </c>
      <c r="C298">
        <v>0</v>
      </c>
      <c r="D298">
        <v>50</v>
      </c>
      <c r="E298" s="248"/>
      <c r="F298">
        <v>0</v>
      </c>
      <c r="G298">
        <v>46</v>
      </c>
      <c r="H298">
        <v>109</v>
      </c>
      <c r="I298" s="249"/>
      <c r="J298">
        <v>0</v>
      </c>
      <c r="K298">
        <v>121</v>
      </c>
      <c r="L298">
        <v>52</v>
      </c>
      <c r="M298" s="250"/>
      <c r="Q298" s="4"/>
      <c r="U298" s="4"/>
      <c r="Y298" s="4"/>
      <c r="Z298">
        <f t="shared" si="42"/>
        <v>255</v>
      </c>
      <c r="AA298">
        <f t="shared" si="43"/>
        <v>0</v>
      </c>
      <c r="AB298">
        <f t="shared" si="44"/>
        <v>0</v>
      </c>
      <c r="AC298" s="5"/>
      <c r="AD298">
        <f t="shared" si="45"/>
        <v>0</v>
      </c>
      <c r="AE298">
        <f t="shared" si="46"/>
        <v>0</v>
      </c>
      <c r="AF298">
        <f t="shared" si="47"/>
        <v>127.5</v>
      </c>
      <c r="AG298" s="26"/>
      <c r="AH298">
        <f t="shared" si="48"/>
        <v>0</v>
      </c>
      <c r="AI298">
        <f t="shared" si="49"/>
        <v>127.5</v>
      </c>
      <c r="AJ298">
        <f t="shared" si="50"/>
        <v>0</v>
      </c>
      <c r="AK298" s="34"/>
      <c r="AL298">
        <f>SQRT((2+(($AL$3+Table4[[#This Row],[Red]])/2)/256)*($AL$3-Table4[[#This Row],[Red]])^2 + 4*($AM$3-Table4[[#This Row],[Green]])^2 + (2+(255-(($AL$3+Table4[[#This Row],[Red]])/2))/256 )*($AN$3-Table4[[#This Row],[Blue]])^2)</f>
        <v>420.79400393779378</v>
      </c>
      <c r="AM298">
        <f>SQRT((2+(($AO$3+Table4[[#This Row],[Red2]])/2)/256)*($AO$3-Table4[[#This Row],[Red2]])^2 + 4*($AP$3-Table4[[#This Row],[Green2]])^2 + (2+(255-(($AO$3+Table4[[#This Row],[Red2]])/2))/256 )*($AQ$3-Table4[[#This Row],[Blue2]])^2)</f>
        <v>209.90614532154603</v>
      </c>
      <c r="AN298">
        <f>SQRT(Table4[[#This Row],[diffPrimary]]^2+Table4[[#This Row],[diffSecondary]]^2)</f>
        <v>470.24268584822244</v>
      </c>
      <c r="AO298" s="2">
        <f>SQRT((2+(($AL$3+Table4[[#This Row],[Red2]])/2)/256)*($AL$3-Table4[[#This Row],[Red2]])^2 + 4*($AM$3-Table4[[#This Row],[Green2]])^2 + (2+(255-(($AL$3+Table4[[#This Row],[Red2]])/2))/256 )*($AN$3-Table4[[#This Row],[Blue2]])^2)</f>
        <v>541.51527491729166</v>
      </c>
      <c r="AP298" s="2">
        <f>SQRT((2+(($AO$3+Table4[[#This Row],[Red]])/2)/256)*($AO$3-Table4[[#This Row],[Red]])^2 + 4*($AP$3-Table4[[#This Row],[Green]])^2 + (2+(255-(($AO$3+Table4[[#This Row],[Red]])/2))/256 )*($AQ$3-Table4[[#This Row],[Blue]])^2)</f>
        <v>350.51029485148507</v>
      </c>
      <c r="AQ298" s="2">
        <f>SQRT(Table4[[#This Row],[diffPrimary2]]^2+Table4[[#This Row],[diffSecondary2]]^2)</f>
        <v>645.05523776311202</v>
      </c>
      <c r="AR298" s="786">
        <f>MIN(Table4[[#This Row],[MinOrig]],Table4[[#This Row],[MinSwap]])</f>
        <v>470.24268584822244</v>
      </c>
      <c r="AS298" s="2">
        <v>29.746717255858702</v>
      </c>
      <c r="AX298" s="4"/>
    </row>
    <row r="299" spans="1:50" x14ac:dyDescent="0.25">
      <c r="A299" t="s">
        <v>243</v>
      </c>
      <c r="B299">
        <v>205</v>
      </c>
      <c r="C299">
        <v>0</v>
      </c>
      <c r="D299">
        <v>27</v>
      </c>
      <c r="E299" s="469"/>
      <c r="F299">
        <v>0</v>
      </c>
      <c r="G299">
        <v>55</v>
      </c>
      <c r="H299">
        <v>104</v>
      </c>
      <c r="I299" s="16"/>
      <c r="M299" s="4"/>
      <c r="Q299" s="4"/>
      <c r="U299" s="4"/>
      <c r="Y299" s="4"/>
      <c r="Z299">
        <f t="shared" si="42"/>
        <v>255</v>
      </c>
      <c r="AA299">
        <f t="shared" si="43"/>
        <v>0</v>
      </c>
      <c r="AB299">
        <f t="shared" si="44"/>
        <v>0</v>
      </c>
      <c r="AC299" s="5"/>
      <c r="AD299">
        <f t="shared" si="45"/>
        <v>0</v>
      </c>
      <c r="AE299">
        <f t="shared" si="46"/>
        <v>0</v>
      </c>
      <c r="AF299">
        <f t="shared" si="47"/>
        <v>127.5</v>
      </c>
      <c r="AG299" s="26"/>
      <c r="AH299">
        <f t="shared" si="48"/>
        <v>0</v>
      </c>
      <c r="AI299">
        <f t="shared" si="49"/>
        <v>0</v>
      </c>
      <c r="AJ299">
        <f t="shared" si="50"/>
        <v>0</v>
      </c>
      <c r="AK299" s="4"/>
      <c r="AL299">
        <f>SQRT((2+(($AL$3+Table4[[#This Row],[Red]])/2)/256)*($AL$3-Table4[[#This Row],[Red]])^2 + 4*($AM$3-Table4[[#This Row],[Green]])^2 + (2+(255-(($AL$3+Table4[[#This Row],[Red]])/2))/256 )*($AN$3-Table4[[#This Row],[Blue]])^2)</f>
        <v>420.56543504697339</v>
      </c>
      <c r="AM299">
        <f>SQRT((2+(($AO$3+Table4[[#This Row],[Red2]])/2)/256)*($AO$3-Table4[[#This Row],[Red2]])^2 + 4*($AP$3-Table4[[#This Row],[Green2]])^2 + (2+(255-(($AO$3+Table4[[#This Row],[Red2]])/2))/256 )*($AQ$3-Table4[[#This Row],[Blue2]])^2)</f>
        <v>210.96385946412718</v>
      </c>
      <c r="AN299">
        <f>SQRT(Table4[[#This Row],[diffPrimary]]^2+Table4[[#This Row],[diffSecondary]]^2)</f>
        <v>470.51146123792779</v>
      </c>
      <c r="AO299" s="2">
        <f>SQRT((2+(($AL$3+Table4[[#This Row],[Red2]])/2)/256)*($AL$3-Table4[[#This Row],[Red2]])^2 + 4*($AM$3-Table4[[#This Row],[Green2]])^2 + (2+(255-(($AL$3+Table4[[#This Row],[Red2]])/2))/256 )*($AN$3-Table4[[#This Row],[Blue2]])^2)</f>
        <v>528.63444179023656</v>
      </c>
      <c r="AP299" s="2">
        <f>SQRT((2+(($AO$3+Table4[[#This Row],[Red]])/2)/256)*($AO$3-Table4[[#This Row],[Red]])^2 + 4*($AP$3-Table4[[#This Row],[Green]])^2 + (2+(255-(($AO$3+Table4[[#This Row],[Red]])/2))/256 )*($AQ$3-Table4[[#This Row],[Blue]])^2)</f>
        <v>320.57555052397555</v>
      </c>
      <c r="AQ299" s="2">
        <f>SQRT(Table4[[#This Row],[diffPrimary2]]^2+Table4[[#This Row],[diffSecondary2]]^2)</f>
        <v>618.24190786505653</v>
      </c>
      <c r="AR299" s="786">
        <f>MIN(Table4[[#This Row],[MinOrig]],Table4[[#This Row],[MinSwap]])</f>
        <v>470.51146123792779</v>
      </c>
      <c r="AS299" s="2">
        <v>36.666172463525598</v>
      </c>
      <c r="AX299" s="4"/>
    </row>
    <row r="300" spans="1:50" x14ac:dyDescent="0.25">
      <c r="A300" t="s">
        <v>257</v>
      </c>
      <c r="B300">
        <v>115</v>
      </c>
      <c r="C300">
        <v>0</v>
      </c>
      <c r="D300">
        <v>10</v>
      </c>
      <c r="E300" s="106"/>
      <c r="F300">
        <v>0</v>
      </c>
      <c r="G300">
        <v>0</v>
      </c>
      <c r="H300">
        <v>0</v>
      </c>
      <c r="I300" s="4"/>
      <c r="M300" s="4"/>
      <c r="Q300" s="4"/>
      <c r="U300" s="4"/>
      <c r="Y300" s="4"/>
      <c r="Z300">
        <f t="shared" si="42"/>
        <v>127.5</v>
      </c>
      <c r="AA300">
        <f t="shared" si="43"/>
        <v>0</v>
      </c>
      <c r="AB300">
        <f t="shared" si="44"/>
        <v>0</v>
      </c>
      <c r="AC300" s="27"/>
      <c r="AD300">
        <f t="shared" si="45"/>
        <v>0</v>
      </c>
      <c r="AE300">
        <f t="shared" si="46"/>
        <v>0</v>
      </c>
      <c r="AF300">
        <f t="shared" si="47"/>
        <v>0</v>
      </c>
      <c r="AG300" s="4"/>
      <c r="AH300">
        <f t="shared" si="48"/>
        <v>0</v>
      </c>
      <c r="AI300">
        <f t="shared" si="49"/>
        <v>0</v>
      </c>
      <c r="AJ300">
        <f t="shared" si="50"/>
        <v>0</v>
      </c>
      <c r="AK300" s="4"/>
      <c r="AL300">
        <f>SQRT((2+(($AL$3+Table4[[#This Row],[Red]])/2)/256)*($AL$3-Table4[[#This Row],[Red]])^2 + 4*($AM$3-Table4[[#This Row],[Green]])^2 + (2+(255-(($AL$3+Table4[[#This Row],[Red]])/2))/256 )*($AN$3-Table4[[#This Row],[Blue]])^2)</f>
        <v>470.84116881385808</v>
      </c>
      <c r="AM300">
        <f>SQRT((2+(($AO$3+Table4[[#This Row],[Red2]])/2)/256)*($AO$3-Table4[[#This Row],[Red2]])^2 + 4*($AP$3-Table4[[#This Row],[Green2]])^2 + (2+(255-(($AO$3+Table4[[#This Row],[Red2]])/2))/256 )*($AQ$3-Table4[[#This Row],[Blue2]])^2)</f>
        <v>0</v>
      </c>
      <c r="AN300">
        <f>SQRT(Table4[[#This Row],[diffPrimary]]^2+Table4[[#This Row],[diffSecondary]]^2)</f>
        <v>470.84116881385808</v>
      </c>
      <c r="AO300" s="2">
        <f>SQRT((2+(($AL$3+Table4[[#This Row],[Red2]])/2)/256)*($AL$3-Table4[[#This Row],[Red2]])^2 + 4*($AM$3-Table4[[#This Row],[Green2]])^2 + (2+(255-(($AL$3+Table4[[#This Row],[Red2]])/2))/256 )*($AN$3-Table4[[#This Row],[Blue2]])^2)</f>
        <v>574.92216694686158</v>
      </c>
      <c r="AP300" s="2">
        <f>SQRT((2+(($AO$3+Table4[[#This Row],[Red]])/2)/256)*($AO$3-Table4[[#This Row],[Red]])^2 + 4*($AP$3-Table4[[#This Row],[Green]])^2 + (2+(255-(($AO$3+Table4[[#This Row],[Red]])/2))/256 )*($AQ$3-Table4[[#This Row],[Blue]])^2)</f>
        <v>172.32993768314026</v>
      </c>
      <c r="AQ300" s="2">
        <f>SQRT(Table4[[#This Row],[diffPrimary2]]^2+Table4[[#This Row],[diffSecondary2]]^2)</f>
        <v>600.19422312177414</v>
      </c>
      <c r="AR300" s="786">
        <f>MIN(Table4[[#This Row],[MinOrig]],Table4[[#This Row],[MinSwap]])</f>
        <v>470.84116881385808</v>
      </c>
      <c r="AS300" s="2">
        <v>89.318437083980598</v>
      </c>
      <c r="AX300" s="4"/>
    </row>
    <row r="301" spans="1:50" x14ac:dyDescent="0.25">
      <c r="A301" t="s">
        <v>10</v>
      </c>
      <c r="B301">
        <v>204</v>
      </c>
      <c r="C301">
        <v>0</v>
      </c>
      <c r="D301">
        <v>51</v>
      </c>
      <c r="E301" s="81"/>
      <c r="F301">
        <v>0</v>
      </c>
      <c r="G301">
        <v>51</v>
      </c>
      <c r="H301">
        <v>102</v>
      </c>
      <c r="I301" s="82"/>
      <c r="M301" s="4"/>
      <c r="Q301" s="4"/>
      <c r="U301" s="4"/>
      <c r="Y301" s="4"/>
      <c r="Z301">
        <f t="shared" si="42"/>
        <v>255</v>
      </c>
      <c r="AA301">
        <f t="shared" si="43"/>
        <v>0</v>
      </c>
      <c r="AB301">
        <f t="shared" si="44"/>
        <v>0</v>
      </c>
      <c r="AC301" s="5"/>
      <c r="AD301">
        <f t="shared" si="45"/>
        <v>0</v>
      </c>
      <c r="AE301">
        <f t="shared" si="46"/>
        <v>0</v>
      </c>
      <c r="AF301">
        <f t="shared" si="47"/>
        <v>127.5</v>
      </c>
      <c r="AG301" s="26"/>
      <c r="AH301">
        <f t="shared" si="48"/>
        <v>0</v>
      </c>
      <c r="AI301">
        <f t="shared" si="49"/>
        <v>0</v>
      </c>
      <c r="AJ301">
        <f t="shared" si="50"/>
        <v>0</v>
      </c>
      <c r="AK301" s="4"/>
      <c r="AL301">
        <f>SQRT((2+(($AL$3+Table4[[#This Row],[Red]])/2)/256)*($AL$3-Table4[[#This Row],[Red]])^2 + 4*($AM$3-Table4[[#This Row],[Green]])^2 + (2+(255-(($AL$3+Table4[[#This Row],[Red]])/2))/256 )*($AN$3-Table4[[#This Row],[Blue]])^2)</f>
        <v>425.55239377043807</v>
      </c>
      <c r="AM301">
        <f>SQRT((2+(($AO$3+Table4[[#This Row],[Red2]])/2)/256)*($AO$3-Table4[[#This Row],[Red2]])^2 + 4*($AP$3-Table4[[#This Row],[Green2]])^2 + (2+(255-(($AO$3+Table4[[#This Row],[Red2]])/2))/256 )*($AQ$3-Table4[[#This Row],[Blue2]])^2)</f>
        <v>203.90036629442332</v>
      </c>
      <c r="AN301">
        <f>SQRT(Table4[[#This Row],[diffPrimary]]^2+Table4[[#This Row],[diffSecondary]]^2)</f>
        <v>471.87943292619775</v>
      </c>
      <c r="AO301" s="2">
        <f>SQRT((2+(($AL$3+Table4[[#This Row],[Red2]])/2)/256)*($AL$3-Table4[[#This Row],[Red2]])^2 + 4*($AM$3-Table4[[#This Row],[Green2]])^2 + (2+(255-(($AL$3+Table4[[#This Row],[Red2]])/2))/256 )*($AN$3-Table4[[#This Row],[Blue2]])^2)</f>
        <v>532.24916884329184</v>
      </c>
      <c r="AP301" s="2">
        <f>SQRT((2+(($AO$3+Table4[[#This Row],[Red]])/2)/256)*($AO$3-Table4[[#This Row],[Red]])^2 + 4*($AP$3-Table4[[#This Row],[Green]])^2 + (2+(255-(($AO$3+Table4[[#This Row],[Red]])/2))/256 )*($AQ$3-Table4[[#This Row],[Blue]])^2)</f>
        <v>326.45042335131075</v>
      </c>
      <c r="AQ301" s="2">
        <f>SQRT(Table4[[#This Row],[diffPrimary2]]^2+Table4[[#This Row],[diffSecondary2]]^2)</f>
        <v>624.3869446430034</v>
      </c>
      <c r="AR301" s="786">
        <f>MIN(Table4[[#This Row],[MinOrig]],Table4[[#This Row],[MinSwap]])</f>
        <v>471.87943292619775</v>
      </c>
      <c r="AS301" s="2">
        <v>29.746717255858702</v>
      </c>
      <c r="AX301" s="4"/>
    </row>
    <row r="302" spans="1:50" x14ac:dyDescent="0.25">
      <c r="A302" t="s">
        <v>155</v>
      </c>
      <c r="B302">
        <v>227</v>
      </c>
      <c r="C302">
        <v>24</v>
      </c>
      <c r="D302">
        <v>55</v>
      </c>
      <c r="E302" s="87"/>
      <c r="F302">
        <v>178</v>
      </c>
      <c r="G302">
        <v>178</v>
      </c>
      <c r="H302">
        <v>178</v>
      </c>
      <c r="I302" s="361"/>
      <c r="J302">
        <v>0</v>
      </c>
      <c r="K302">
        <v>0</v>
      </c>
      <c r="L302">
        <v>0</v>
      </c>
      <c r="M302" s="4"/>
      <c r="N302">
        <v>255</v>
      </c>
      <c r="O302">
        <v>255</v>
      </c>
      <c r="P302">
        <v>255</v>
      </c>
      <c r="Q302" s="3"/>
      <c r="U302" s="4"/>
      <c r="Y302" s="4"/>
      <c r="Z302">
        <f t="shared" si="42"/>
        <v>255</v>
      </c>
      <c r="AA302">
        <f t="shared" si="43"/>
        <v>0</v>
      </c>
      <c r="AB302">
        <f t="shared" si="44"/>
        <v>0</v>
      </c>
      <c r="AC302" s="5"/>
      <c r="AD302">
        <f t="shared" si="45"/>
        <v>127.5</v>
      </c>
      <c r="AE302">
        <f t="shared" si="46"/>
        <v>127.5</v>
      </c>
      <c r="AF302">
        <f t="shared" si="47"/>
        <v>127.5</v>
      </c>
      <c r="AG302" s="32"/>
      <c r="AH302">
        <f t="shared" si="48"/>
        <v>0</v>
      </c>
      <c r="AI302">
        <f t="shared" si="49"/>
        <v>0</v>
      </c>
      <c r="AJ302">
        <f t="shared" si="50"/>
        <v>0</v>
      </c>
      <c r="AK302" s="4"/>
      <c r="AL302">
        <f>SQRT((2+(($AL$3+Table4[[#This Row],[Red]])/2)/256)*($AL$3-Table4[[#This Row],[Red]])^2 + 4*($AM$3-Table4[[#This Row],[Green]])^2 + (2+(255-(($AL$3+Table4[[#This Row],[Red]])/2))/256 )*($AN$3-Table4[[#This Row],[Blue]])^2)</f>
        <v>373.58465196993842</v>
      </c>
      <c r="AM302">
        <f>SQRT((2+(($AO$3+Table4[[#This Row],[Red2]])/2)/256)*($AO$3-Table4[[#This Row],[Red2]])^2 + 4*($AP$3-Table4[[#This Row],[Green2]])^2 + (2+(255-(($AO$3+Table4[[#This Row],[Red2]])/2))/256 )*($AQ$3-Table4[[#This Row],[Blue2]])^2)</f>
        <v>533.88410200623127</v>
      </c>
      <c r="AN302">
        <f>SQRT(Table4[[#This Row],[diffPrimary]]^2+Table4[[#This Row],[diffSecondary]]^2)</f>
        <v>651.61163783537506</v>
      </c>
      <c r="AO302" s="2">
        <f>SQRT((2+(($AL$3+Table4[[#This Row],[Red2]])/2)/256)*($AL$3-Table4[[#This Row],[Red2]])^2 + 4*($AM$3-Table4[[#This Row],[Green2]])^2 + (2+(255-(($AL$3+Table4[[#This Row],[Red2]])/2))/256 )*($AN$3-Table4[[#This Row],[Blue2]])^2)</f>
        <v>296.5150087105626</v>
      </c>
      <c r="AP302" s="2">
        <f>SQRT((2+(($AO$3+Table4[[#This Row],[Red]])/2)/256)*($AO$3-Table4[[#This Row],[Red]])^2 + 4*($AP$3-Table4[[#This Row],[Green]])^2 + (2+(255-(($AO$3+Table4[[#This Row],[Red]])/2))/256 )*($AQ$3-Table4[[#This Row],[Blue]])^2)</f>
        <v>368.68670537293582</v>
      </c>
      <c r="AQ302" s="2">
        <f>SQRT(Table4[[#This Row],[diffPrimary2]]^2+Table4[[#This Row],[diffSecondary2]]^2)</f>
        <v>473.12898569985646</v>
      </c>
      <c r="AR302" s="786">
        <f>MIN(Table4[[#This Row],[MinOrig]],Table4[[#This Row],[MinSwap]])</f>
        <v>473.12898569985646</v>
      </c>
      <c r="AS302" s="2">
        <v>41.346478084596299</v>
      </c>
      <c r="AX302" s="4"/>
    </row>
    <row r="303" spans="1:50" x14ac:dyDescent="0.25">
      <c r="A303" t="s">
        <v>246</v>
      </c>
      <c r="B303">
        <v>14</v>
      </c>
      <c r="C303">
        <v>62</v>
      </c>
      <c r="D303">
        <v>124</v>
      </c>
      <c r="E303" s="473"/>
      <c r="F303">
        <v>132</v>
      </c>
      <c r="G303">
        <v>188</v>
      </c>
      <c r="H303">
        <v>232</v>
      </c>
      <c r="I303" s="474"/>
      <c r="J303">
        <v>32</v>
      </c>
      <c r="K303">
        <v>123</v>
      </c>
      <c r="L303">
        <v>193</v>
      </c>
      <c r="M303" s="475"/>
      <c r="Q303" s="4"/>
      <c r="U303" s="4"/>
      <c r="Y303" s="4"/>
      <c r="Z303">
        <f t="shared" si="42"/>
        <v>0</v>
      </c>
      <c r="AA303">
        <f t="shared" si="43"/>
        <v>0</v>
      </c>
      <c r="AB303">
        <f t="shared" si="44"/>
        <v>127.5</v>
      </c>
      <c r="AC303" s="26"/>
      <c r="AD303">
        <f t="shared" si="45"/>
        <v>127.5</v>
      </c>
      <c r="AE303">
        <f t="shared" si="46"/>
        <v>127.5</v>
      </c>
      <c r="AF303">
        <f t="shared" si="47"/>
        <v>255</v>
      </c>
      <c r="AG303" s="37"/>
      <c r="AH303">
        <f t="shared" si="48"/>
        <v>0</v>
      </c>
      <c r="AI303">
        <f t="shared" si="49"/>
        <v>127.5</v>
      </c>
      <c r="AJ303">
        <f t="shared" si="50"/>
        <v>255</v>
      </c>
      <c r="AK303" s="36"/>
      <c r="AL303">
        <f>SQRT((2+(($AL$3+Table4[[#This Row],[Red]])/2)/256)*($AL$3-Table4[[#This Row],[Red]])^2 + 4*($AM$3-Table4[[#This Row],[Green]])^2 + (2+(255-(($AL$3+Table4[[#This Row],[Red]])/2))/256 )*($AN$3-Table4[[#This Row],[Blue]])^2)</f>
        <v>516.20029459563955</v>
      </c>
      <c r="AM303">
        <f>SQRT((2+(($AO$3+Table4[[#This Row],[Red2]])/2)/256)*($AO$3-Table4[[#This Row],[Red2]])^2 + 4*($AP$3-Table4[[#This Row],[Green2]])^2 + (2+(255-(($AO$3+Table4[[#This Row],[Red2]])/2))/256 )*($AQ$3-Table4[[#This Row],[Blue2]])^2)</f>
        <v>572.80133990765069</v>
      </c>
      <c r="AN303">
        <f>SQRT(Table4[[#This Row],[diffPrimary]]^2+Table4[[#This Row],[diffSecondary]]^2)</f>
        <v>771.07983966683048</v>
      </c>
      <c r="AO303" s="2">
        <f>SQRT((2+(($AL$3+Table4[[#This Row],[Red2]])/2)/256)*($AL$3-Table4[[#This Row],[Red2]])^2 + 4*($AM$3-Table4[[#This Row],[Green2]])^2 + (2+(255-(($AL$3+Table4[[#This Row],[Red2]])/2))/256 )*($AN$3-Table4[[#This Row],[Blue2]])^2)</f>
        <v>404.2620084603239</v>
      </c>
      <c r="AP303" s="2">
        <f>SQRT((2+(($AO$3+Table4[[#This Row],[Red]])/2)/256)*($AO$3-Table4[[#This Row],[Red]])^2 + 4*($AP$3-Table4[[#This Row],[Green]])^2 + (2+(255-(($AO$3+Table4[[#This Row],[Red]])/2))/256 )*($AQ$3-Table4[[#This Row],[Blue]])^2)</f>
        <v>247.83232108625381</v>
      </c>
      <c r="AQ303" s="2">
        <f>SQRT(Table4[[#This Row],[diffPrimary2]]^2+Table4[[#This Row],[diffSecondary2]]^2)</f>
        <v>474.18206509670421</v>
      </c>
      <c r="AR303" s="786">
        <f>MIN(Table4[[#This Row],[MinOrig]],Table4[[#This Row],[MinSwap]])</f>
        <v>474.18206509670421</v>
      </c>
      <c r="AS303" s="2">
        <v>66.244074027417696</v>
      </c>
      <c r="AX303" s="4"/>
    </row>
    <row r="304" spans="1:50" x14ac:dyDescent="0.25">
      <c r="A304" t="s">
        <v>336</v>
      </c>
      <c r="B304">
        <v>197</v>
      </c>
      <c r="C304">
        <v>5</v>
      </c>
      <c r="D304">
        <v>12</v>
      </c>
      <c r="E304" s="619"/>
      <c r="F304">
        <v>155</v>
      </c>
      <c r="G304">
        <v>0</v>
      </c>
      <c r="H304">
        <v>0</v>
      </c>
      <c r="I304" s="620"/>
      <c r="J304">
        <v>255</v>
      </c>
      <c r="K304">
        <v>255</v>
      </c>
      <c r="L304">
        <v>255</v>
      </c>
      <c r="M304" s="3"/>
      <c r="Q304" s="4"/>
      <c r="U304" s="4"/>
      <c r="Y304" s="4"/>
      <c r="Z304">
        <f t="shared" si="42"/>
        <v>255</v>
      </c>
      <c r="AA304">
        <f t="shared" si="43"/>
        <v>0</v>
      </c>
      <c r="AB304">
        <f t="shared" si="44"/>
        <v>0</v>
      </c>
      <c r="AC304" s="5"/>
      <c r="AD304">
        <f t="shared" si="45"/>
        <v>127.5</v>
      </c>
      <c r="AE304">
        <f t="shared" si="46"/>
        <v>0</v>
      </c>
      <c r="AF304">
        <f t="shared" si="47"/>
        <v>0</v>
      </c>
      <c r="AG304" s="27"/>
      <c r="AH304">
        <f t="shared" si="48"/>
        <v>255</v>
      </c>
      <c r="AI304">
        <f t="shared" si="49"/>
        <v>255</v>
      </c>
      <c r="AJ304">
        <f t="shared" si="50"/>
        <v>255</v>
      </c>
      <c r="AK304" s="3"/>
      <c r="AL304">
        <f>SQRT((2+(($AL$3+Table4[[#This Row],[Red]])/2)/256)*($AL$3-Table4[[#This Row],[Red]])^2 + 4*($AM$3-Table4[[#This Row],[Green]])^2 + (2+(255-(($AL$3+Table4[[#This Row],[Red]])/2))/256 )*($AN$3-Table4[[#This Row],[Blue]])^2)</f>
        <v>412.31310159877285</v>
      </c>
      <c r="AM304">
        <f>SQRT((2+(($AO$3+Table4[[#This Row],[Red2]])/2)/256)*($AO$3-Table4[[#This Row],[Red2]])^2 + 4*($AP$3-Table4[[#This Row],[Green2]])^2 + (2+(255-(($AO$3+Table4[[#This Row],[Red2]])/2))/256 )*($AQ$3-Table4[[#This Row],[Blue2]])^2)</f>
        <v>235.20882925471781</v>
      </c>
      <c r="AN304">
        <f>SQRT(Table4[[#This Row],[diffPrimary]]^2+Table4[[#This Row],[diffSecondary]]^2)</f>
        <v>474.68440790632144</v>
      </c>
      <c r="AO304" s="2">
        <f>SQRT((2+(($AL$3+Table4[[#This Row],[Red2]])/2)/256)*($AL$3-Table4[[#This Row],[Red2]])^2 + 4*($AM$3-Table4[[#This Row],[Green2]])^2 + (2+(255-(($AL$3+Table4[[#This Row],[Red2]])/2))/256 )*($AN$3-Table4[[#This Row],[Blue2]])^2)</f>
        <v>442.84061749121435</v>
      </c>
      <c r="AP304" s="2">
        <f>SQRT((2+(($AO$3+Table4[[#This Row],[Red]])/2)/256)*($AO$3-Table4[[#This Row],[Red]])^2 + 4*($AP$3-Table4[[#This Row],[Green]])^2 + (2+(255-(($AO$3+Table4[[#This Row],[Red]])/2))/256 )*($AQ$3-Table4[[#This Row],[Blue]])^2)</f>
        <v>305.00229571369624</v>
      </c>
      <c r="AQ304" s="2">
        <f>SQRT(Table4[[#This Row],[diffPrimary2]]^2+Table4[[#This Row],[diffSecondary2]]^2)</f>
        <v>537.71201668795266</v>
      </c>
      <c r="AR304" s="786">
        <f>MIN(Table4[[#This Row],[MinOrig]],Table4[[#This Row],[MinSwap]])</f>
        <v>474.68440790632144</v>
      </c>
      <c r="AS304" s="2">
        <v>49.579816489424402</v>
      </c>
      <c r="AX304" s="4"/>
    </row>
    <row r="305" spans="1:50" x14ac:dyDescent="0.25">
      <c r="A305" t="s">
        <v>222</v>
      </c>
      <c r="B305">
        <v>153</v>
      </c>
      <c r="C305">
        <v>0</v>
      </c>
      <c r="D305">
        <v>0</v>
      </c>
      <c r="E305" s="135"/>
      <c r="F305">
        <v>1</v>
      </c>
      <c r="G305">
        <v>31</v>
      </c>
      <c r="H305">
        <v>91</v>
      </c>
      <c r="I305" s="443"/>
      <c r="J305">
        <v>255</v>
      </c>
      <c r="K305">
        <v>255</v>
      </c>
      <c r="L305">
        <v>255</v>
      </c>
      <c r="M305" s="3"/>
      <c r="Q305" s="4"/>
      <c r="U305" s="4"/>
      <c r="Y305" s="4"/>
      <c r="Z305">
        <f t="shared" si="42"/>
        <v>127.5</v>
      </c>
      <c r="AA305">
        <f t="shared" si="43"/>
        <v>0</v>
      </c>
      <c r="AB305">
        <f t="shared" si="44"/>
        <v>0</v>
      </c>
      <c r="AC305" s="27"/>
      <c r="AD305">
        <f t="shared" si="45"/>
        <v>0</v>
      </c>
      <c r="AE305">
        <f t="shared" si="46"/>
        <v>0</v>
      </c>
      <c r="AF305">
        <f t="shared" si="47"/>
        <v>127.5</v>
      </c>
      <c r="AG305" s="26"/>
      <c r="AH305">
        <f t="shared" si="48"/>
        <v>255</v>
      </c>
      <c r="AI305">
        <f t="shared" si="49"/>
        <v>255</v>
      </c>
      <c r="AJ305">
        <f t="shared" si="50"/>
        <v>255</v>
      </c>
      <c r="AK305" s="3"/>
      <c r="AL305">
        <f>SQRT((2+(($AL$3+Table4[[#This Row],[Red]])/2)/256)*($AL$3-Table4[[#This Row],[Red]])^2 + 4*($AM$3-Table4[[#This Row],[Green]])^2 + (2+(255-(($AL$3+Table4[[#This Row],[Red]])/2))/256 )*($AN$3-Table4[[#This Row],[Blue]])^2)</f>
        <v>444.07058842035462</v>
      </c>
      <c r="AM305">
        <f>SQRT((2+(($AO$3+Table4[[#This Row],[Red2]])/2)/256)*($AO$3-Table4[[#This Row],[Red2]])^2 + 4*($AP$3-Table4[[#This Row],[Green2]])^2 + (2+(255-(($AO$3+Table4[[#This Row],[Red2]])/2))/256 )*($AQ$3-Table4[[#This Row],[Blue2]])^2)</f>
        <v>169.23498594779392</v>
      </c>
      <c r="AN305">
        <f>SQRT(Table4[[#This Row],[diffPrimary]]^2+Table4[[#This Row],[diffSecondary]]^2)</f>
        <v>475.22538649439804</v>
      </c>
      <c r="AO305" s="2">
        <f>SQRT((2+(($AL$3+Table4[[#This Row],[Red2]])/2)/256)*($AL$3-Table4[[#This Row],[Red2]])^2 + 4*($AM$3-Table4[[#This Row],[Green2]])^2 + (2+(255-(($AL$3+Table4[[#This Row],[Red2]])/2))/256 )*($AN$3-Table4[[#This Row],[Blue2]])^2)</f>
        <v>550.51262687040162</v>
      </c>
      <c r="AP305" s="2">
        <f>SQRT((2+(($AO$3+Table4[[#This Row],[Red]])/2)/256)*($AO$3-Table4[[#This Row],[Red]])^2 + 4*($AP$3-Table4[[#This Row],[Green]])^2 + (2+(255-(($AO$3+Table4[[#This Row],[Red]])/2))/256 )*($AQ$3-Table4[[#This Row],[Blue]])^2)</f>
        <v>231.97686862729438</v>
      </c>
      <c r="AQ305" s="2">
        <f>SQRT(Table4[[#This Row],[diffPrimary2]]^2+Table4[[#This Row],[diffSecondary2]]^2)</f>
        <v>597.39218267556453</v>
      </c>
      <c r="AR305" s="786">
        <f>MIN(Table4[[#This Row],[MinOrig]],Table4[[#This Row],[MinSwap]])</f>
        <v>475.22538649439804</v>
      </c>
      <c r="AS305" s="2">
        <v>59.0232673930375</v>
      </c>
      <c r="AX305" s="4"/>
    </row>
    <row r="306" spans="1:50" x14ac:dyDescent="0.25">
      <c r="A306" t="s">
        <v>39</v>
      </c>
      <c r="B306">
        <v>0</v>
      </c>
      <c r="C306">
        <v>50</v>
      </c>
      <c r="D306">
        <v>98</v>
      </c>
      <c r="E306" s="144"/>
      <c r="F306">
        <v>59</v>
      </c>
      <c r="G306">
        <v>126</v>
      </c>
      <c r="H306">
        <v>161</v>
      </c>
      <c r="I306" s="145"/>
      <c r="J306">
        <v>253</v>
      </c>
      <c r="K306">
        <v>181</v>
      </c>
      <c r="L306">
        <v>21</v>
      </c>
      <c r="M306" s="146"/>
      <c r="N306">
        <v>196</v>
      </c>
      <c r="O306">
        <v>130</v>
      </c>
      <c r="P306">
        <v>14</v>
      </c>
      <c r="Q306" s="147"/>
      <c r="U306" s="4"/>
      <c r="Y306" s="4"/>
      <c r="Z306">
        <f t="shared" si="42"/>
        <v>0</v>
      </c>
      <c r="AA306">
        <f t="shared" si="43"/>
        <v>0</v>
      </c>
      <c r="AB306">
        <f t="shared" si="44"/>
        <v>127.5</v>
      </c>
      <c r="AC306" s="26"/>
      <c r="AD306">
        <f t="shared" si="45"/>
        <v>0</v>
      </c>
      <c r="AE306">
        <f t="shared" si="46"/>
        <v>127.5</v>
      </c>
      <c r="AF306">
        <f t="shared" si="47"/>
        <v>127.5</v>
      </c>
      <c r="AG306" s="24"/>
      <c r="AH306">
        <f t="shared" si="48"/>
        <v>255</v>
      </c>
      <c r="AI306">
        <f t="shared" si="49"/>
        <v>127.5</v>
      </c>
      <c r="AJ306">
        <f t="shared" si="50"/>
        <v>0</v>
      </c>
      <c r="AK306" s="28"/>
      <c r="AL306">
        <f>SQRT((2+(($AL$3+Table4[[#This Row],[Red]])/2)/256)*($AL$3-Table4[[#This Row],[Red]])^2 + 4*($AM$3-Table4[[#This Row],[Green]])^2 + (2+(255-(($AL$3+Table4[[#This Row],[Red]])/2))/256 )*($AN$3-Table4[[#This Row],[Blue]])^2)</f>
        <v>531.53244513799439</v>
      </c>
      <c r="AM306">
        <f>SQRT((2+(($AO$3+Table4[[#This Row],[Red2]])/2)/256)*($AO$3-Table4[[#This Row],[Red2]])^2 + 4*($AP$3-Table4[[#This Row],[Green2]])^2 + (2+(255-(($AO$3+Table4[[#This Row],[Red2]])/2))/256 )*($AQ$3-Table4[[#This Row],[Blue2]])^2)</f>
        <v>381.49952387748795</v>
      </c>
      <c r="AN306">
        <f>SQRT(Table4[[#This Row],[diffPrimary]]^2+Table4[[#This Row],[diffSecondary]]^2)</f>
        <v>654.26953692887537</v>
      </c>
      <c r="AO306" s="2">
        <f>SQRT((2+(($AL$3+Table4[[#This Row],[Red2]])/2)/256)*($AL$3-Table4[[#This Row],[Red2]])^2 + 4*($AM$3-Table4[[#This Row],[Green2]])^2 + (2+(255-(($AL$3+Table4[[#This Row],[Red2]])/2))/256 )*($AN$3-Table4[[#This Row],[Blue2]])^2)</f>
        <v>432.57449683551619</v>
      </c>
      <c r="AP306" s="2">
        <f>SQRT((2+(($AO$3+Table4[[#This Row],[Red]])/2)/256)*($AO$3-Table4[[#This Row],[Red]])^2 + 4*($AP$3-Table4[[#This Row],[Green]])^2 + (2+(255-(($AO$3+Table4[[#This Row],[Red]])/2))/256 )*($AQ$3-Table4[[#This Row],[Blue]])^2)</f>
        <v>196.91237740426578</v>
      </c>
      <c r="AQ306" s="2">
        <f>SQRT(Table4[[#This Row],[diffPrimary2]]^2+Table4[[#This Row],[diffSecondary2]]^2)</f>
        <v>475.28431458180904</v>
      </c>
      <c r="AR306" s="786">
        <f>MIN(Table4[[#This Row],[MinOrig]],Table4[[#This Row],[MinSwap]])</f>
        <v>475.28431458180904</v>
      </c>
      <c r="AS306" s="2">
        <v>62.620181326589901</v>
      </c>
      <c r="AX306" s="4"/>
    </row>
    <row r="307" spans="1:50" x14ac:dyDescent="0.25">
      <c r="A307" t="s">
        <v>135</v>
      </c>
      <c r="B307">
        <v>0</v>
      </c>
      <c r="C307">
        <v>51</v>
      </c>
      <c r="D307">
        <v>160</v>
      </c>
      <c r="E307" s="105"/>
      <c r="F307">
        <v>255</v>
      </c>
      <c r="G307">
        <v>255</v>
      </c>
      <c r="H307">
        <v>255</v>
      </c>
      <c r="I307" s="3"/>
      <c r="J307">
        <v>0</v>
      </c>
      <c r="K307">
        <v>0</v>
      </c>
      <c r="L307">
        <v>0</v>
      </c>
      <c r="M307" s="4"/>
      <c r="Q307" s="4"/>
      <c r="U307" s="4"/>
      <c r="Y307" s="4"/>
      <c r="Z307">
        <f t="shared" si="42"/>
        <v>0</v>
      </c>
      <c r="AA307">
        <f t="shared" si="43"/>
        <v>0</v>
      </c>
      <c r="AB307">
        <f t="shared" si="44"/>
        <v>127.5</v>
      </c>
      <c r="AC307" s="26"/>
      <c r="AD307">
        <f t="shared" si="45"/>
        <v>255</v>
      </c>
      <c r="AE307">
        <f t="shared" si="46"/>
        <v>255</v>
      </c>
      <c r="AF307">
        <f t="shared" si="47"/>
        <v>255</v>
      </c>
      <c r="AG307" s="3"/>
      <c r="AH307">
        <f t="shared" si="48"/>
        <v>0</v>
      </c>
      <c r="AI307">
        <f t="shared" si="49"/>
        <v>0</v>
      </c>
      <c r="AJ307">
        <f t="shared" si="50"/>
        <v>0</v>
      </c>
      <c r="AK307" s="4"/>
      <c r="AL307">
        <f>SQRT((2+(($AL$3+Table4[[#This Row],[Red]])/2)/256)*($AL$3-Table4[[#This Row],[Red]])^2 + 4*($AM$3-Table4[[#This Row],[Green]])^2 + (2+(255-(($AL$3+Table4[[#This Row],[Red]])/2))/256 )*($AN$3-Table4[[#This Row],[Blue]])^2)</f>
        <v>566.78875963349435</v>
      </c>
      <c r="AM307">
        <f>SQRT((2+(($AO$3+Table4[[#This Row],[Red2]])/2)/256)*($AO$3-Table4[[#This Row],[Red2]])^2 + 4*($AP$3-Table4[[#This Row],[Green2]])^2 + (2+(255-(($AO$3+Table4[[#This Row],[Red2]])/2))/256 )*($AQ$3-Table4[[#This Row],[Blue2]])^2)</f>
        <v>764.83396635724148</v>
      </c>
      <c r="AN307">
        <f>SQRT(Table4[[#This Row],[diffPrimary]]^2+Table4[[#This Row],[diffSecondary]]^2)</f>
        <v>951.956140870274</v>
      </c>
      <c r="AO307" s="2">
        <f>SQRT((2+(($AL$3+Table4[[#This Row],[Red2]])/2)/256)*($AL$3-Table4[[#This Row],[Red2]])^2 + 4*($AM$3-Table4[[#This Row],[Green2]])^2 + (2+(255-(($AL$3+Table4[[#This Row],[Red2]])/2))/256 )*($AN$3-Table4[[#This Row],[Blue2]])^2)</f>
        <v>374.23254802328461</v>
      </c>
      <c r="AP307" s="2">
        <f>SQRT((2+(($AO$3+Table4[[#This Row],[Red]])/2)/256)*($AO$3-Table4[[#This Row],[Red]])^2 + 4*($AP$3-Table4[[#This Row],[Green]])^2 + (2+(255-(($AO$3+Table4[[#This Row],[Red]])/2))/256 )*($AQ$3-Table4[[#This Row],[Blue]])^2)</f>
        <v>295.13386793114745</v>
      </c>
      <c r="AQ307" s="2">
        <f>SQRT(Table4[[#This Row],[diffPrimary2]]^2+Table4[[#This Row],[diffSecondary2]]^2)</f>
        <v>476.60675614179036</v>
      </c>
      <c r="AR307" s="786">
        <f>MIN(Table4[[#This Row],[MinOrig]],Table4[[#This Row],[MinSwap]])</f>
        <v>476.60675614179036</v>
      </c>
      <c r="AS307" s="2">
        <v>21.7922542145139</v>
      </c>
      <c r="AX307" s="4"/>
    </row>
    <row r="308" spans="1:50" x14ac:dyDescent="0.25">
      <c r="A308" t="s">
        <v>236</v>
      </c>
      <c r="B308">
        <v>0</v>
      </c>
      <c r="C308">
        <v>0</v>
      </c>
      <c r="D308">
        <v>102</v>
      </c>
      <c r="E308" s="458"/>
      <c r="F308">
        <v>153</v>
      </c>
      <c r="G308">
        <v>0</v>
      </c>
      <c r="H308">
        <v>0</v>
      </c>
      <c r="I308" s="135"/>
      <c r="M308" s="4"/>
      <c r="Q308" s="4"/>
      <c r="U308" s="4"/>
      <c r="Y308" s="4"/>
      <c r="Z308">
        <f t="shared" si="42"/>
        <v>0</v>
      </c>
      <c r="AA308">
        <f t="shared" si="43"/>
        <v>0</v>
      </c>
      <c r="AB308">
        <f t="shared" si="44"/>
        <v>127.5</v>
      </c>
      <c r="AC308" s="26"/>
      <c r="AD308">
        <f t="shared" si="45"/>
        <v>127.5</v>
      </c>
      <c r="AE308">
        <f t="shared" si="46"/>
        <v>0</v>
      </c>
      <c r="AF308">
        <f t="shared" si="47"/>
        <v>0</v>
      </c>
      <c r="AG308" s="27"/>
      <c r="AH308">
        <f t="shared" si="48"/>
        <v>0</v>
      </c>
      <c r="AI308">
        <f t="shared" si="49"/>
        <v>0</v>
      </c>
      <c r="AJ308">
        <f t="shared" si="50"/>
        <v>0</v>
      </c>
      <c r="AK308" s="4"/>
      <c r="AL308">
        <f>SQRT((2+(($AL$3+Table4[[#This Row],[Red]])/2)/256)*($AL$3-Table4[[#This Row],[Red]])^2 + 4*($AM$3-Table4[[#This Row],[Green]])^2 + (2+(255-(($AL$3+Table4[[#This Row],[Red]])/2))/256 )*($AN$3-Table4[[#This Row],[Blue]])^2)</f>
        <v>597.09729335710017</v>
      </c>
      <c r="AM308">
        <f>SQRT((2+(($AO$3+Table4[[#This Row],[Red2]])/2)/256)*($AO$3-Table4[[#This Row],[Red2]])^2 + 4*($AP$3-Table4[[#This Row],[Green2]])^2 + (2+(255-(($AO$3+Table4[[#This Row],[Red2]])/2))/256 )*($AQ$3-Table4[[#This Row],[Blue2]])^2)</f>
        <v>231.97686862729438</v>
      </c>
      <c r="AN308">
        <f>SQRT(Table4[[#This Row],[diffPrimary]]^2+Table4[[#This Row],[diffSecondary]]^2)</f>
        <v>640.57665061450678</v>
      </c>
      <c r="AO308" s="2">
        <f>SQRT((2+(($AL$3+Table4[[#This Row],[Red2]])/2)/256)*($AL$3-Table4[[#This Row],[Red2]])^2 + 4*($AM$3-Table4[[#This Row],[Green2]])^2 + (2+(255-(($AL$3+Table4[[#This Row],[Red2]])/2))/256 )*($AN$3-Table4[[#This Row],[Blue2]])^2)</f>
        <v>444.07058842035462</v>
      </c>
      <c r="AP308" s="2">
        <f>SQRT((2+(($AO$3+Table4[[#This Row],[Red]])/2)/256)*($AO$3-Table4[[#This Row],[Red]])^2 + 4*($AP$3-Table4[[#This Row],[Green]])^2 + (2+(255-(($AO$3+Table4[[#This Row],[Red]])/2))/256 )*($AQ$3-Table4[[#This Row],[Blue]])^2)</f>
        <v>176.55412590760943</v>
      </c>
      <c r="AQ308" s="2">
        <f>SQRT(Table4[[#This Row],[diffPrimary2]]^2+Table4[[#This Row],[diffSecondary2]]^2)</f>
        <v>477.88078730474194</v>
      </c>
      <c r="AR308" s="786">
        <f>MIN(Table4[[#This Row],[MinOrig]],Table4[[#This Row],[MinSwap]])</f>
        <v>477.88078730474194</v>
      </c>
      <c r="AS308" s="2">
        <v>64.871357074983393</v>
      </c>
      <c r="AX308" s="4"/>
    </row>
    <row r="309" spans="1:50" x14ac:dyDescent="0.25">
      <c r="A309" t="s">
        <v>8</v>
      </c>
      <c r="B309">
        <v>20</v>
      </c>
      <c r="C309">
        <v>61</v>
      </c>
      <c r="D309">
        <v>141</v>
      </c>
      <c r="E309" s="11"/>
      <c r="F309">
        <v>196</v>
      </c>
      <c r="G309">
        <v>18</v>
      </c>
      <c r="H309">
        <v>48</v>
      </c>
      <c r="I309" s="78"/>
      <c r="J309">
        <v>255</v>
      </c>
      <c r="K309">
        <v>255</v>
      </c>
      <c r="L309">
        <v>255</v>
      </c>
      <c r="M309" s="3"/>
      <c r="Q309" s="4"/>
      <c r="U309" s="4"/>
      <c r="Y309" s="4"/>
      <c r="Z309">
        <f t="shared" si="42"/>
        <v>0</v>
      </c>
      <c r="AA309">
        <f t="shared" si="43"/>
        <v>0</v>
      </c>
      <c r="AB309">
        <f t="shared" si="44"/>
        <v>127.5</v>
      </c>
      <c r="AC309" s="26"/>
      <c r="AD309">
        <f t="shared" si="45"/>
        <v>255</v>
      </c>
      <c r="AE309">
        <f t="shared" si="46"/>
        <v>0</v>
      </c>
      <c r="AF309">
        <f t="shared" si="47"/>
        <v>0</v>
      </c>
      <c r="AG309" s="5"/>
      <c r="AH309">
        <f t="shared" si="48"/>
        <v>255</v>
      </c>
      <c r="AI309">
        <f t="shared" si="49"/>
        <v>255</v>
      </c>
      <c r="AJ309">
        <f t="shared" si="50"/>
        <v>255</v>
      </c>
      <c r="AK309" s="3"/>
      <c r="AL309">
        <f>SQRT((2+(($AL$3+Table4[[#This Row],[Red]])/2)/256)*($AL$3-Table4[[#This Row],[Red]])^2 + 4*($AM$3-Table4[[#This Row],[Green]])^2 + (2+(255-(($AL$3+Table4[[#This Row],[Red]])/2))/256 )*($AN$3-Table4[[#This Row],[Blue]])^2)</f>
        <v>521.48147962679366</v>
      </c>
      <c r="AM309">
        <f>SQRT((2+(($AO$3+Table4[[#This Row],[Red2]])/2)/256)*($AO$3-Table4[[#This Row],[Red2]])^2 + 4*($AP$3-Table4[[#This Row],[Green2]])^2 + (2+(255-(($AO$3+Table4[[#This Row],[Red2]])/2))/256 )*($AQ$3-Table4[[#This Row],[Blue2]])^2)</f>
        <v>314.41234867606585</v>
      </c>
      <c r="AN309">
        <f>SQRT(Table4[[#This Row],[diffPrimary]]^2+Table4[[#This Row],[diffSecondary]]^2)</f>
        <v>608.9318997997641</v>
      </c>
      <c r="AO309" s="2">
        <f>SQRT((2+(($AL$3+Table4[[#This Row],[Red2]])/2)/256)*($AL$3-Table4[[#This Row],[Red2]])^2 + 4*($AM$3-Table4[[#This Row],[Green2]])^2 + (2+(255-(($AL$3+Table4[[#This Row],[Red2]])/2))/256 )*($AN$3-Table4[[#This Row],[Blue2]])^2)</f>
        <v>393.41806197018332</v>
      </c>
      <c r="AP309" s="2">
        <f>SQRT((2+(($AO$3+Table4[[#This Row],[Red]])/2)/256)*($AO$3-Table4[[#This Row],[Red]])^2 + 4*($AP$3-Table4[[#This Row],[Green]])^2 + (2+(255-(($AO$3+Table4[[#This Row],[Red]])/2))/256 )*($AQ$3-Table4[[#This Row],[Blue]])^2)</f>
        <v>272.92556362724616</v>
      </c>
      <c r="AQ309" s="2">
        <f>SQRT(Table4[[#This Row],[diffPrimary2]]^2+Table4[[#This Row],[diffSecondary2]]^2)</f>
        <v>478.81743364838439</v>
      </c>
      <c r="AR309" s="786">
        <f>MIN(Table4[[#This Row],[MinOrig]],Table4[[#This Row],[MinSwap]])</f>
        <v>478.81743364838439</v>
      </c>
      <c r="AS309" s="2">
        <v>50.210572218408302</v>
      </c>
      <c r="AX309" s="4"/>
    </row>
    <row r="310" spans="1:50" x14ac:dyDescent="0.25">
      <c r="A310" t="s">
        <v>49</v>
      </c>
      <c r="B310">
        <v>0</v>
      </c>
      <c r="C310">
        <v>102</v>
      </c>
      <c r="D310">
        <v>102</v>
      </c>
      <c r="E310" s="166"/>
      <c r="F310">
        <v>0</v>
      </c>
      <c r="G310">
        <v>0</v>
      </c>
      <c r="H310">
        <v>0</v>
      </c>
      <c r="I310" s="4"/>
      <c r="M310" s="4"/>
      <c r="Q310" s="4"/>
      <c r="U310" s="4"/>
      <c r="Y310" s="4"/>
      <c r="Z310">
        <f t="shared" si="42"/>
        <v>0</v>
      </c>
      <c r="AA310">
        <f t="shared" si="43"/>
        <v>127.5</v>
      </c>
      <c r="AB310">
        <f t="shared" si="44"/>
        <v>127.5</v>
      </c>
      <c r="AC310" s="24"/>
      <c r="AD310">
        <f t="shared" si="45"/>
        <v>0</v>
      </c>
      <c r="AE310">
        <f t="shared" si="46"/>
        <v>0</v>
      </c>
      <c r="AF310">
        <f t="shared" si="47"/>
        <v>0</v>
      </c>
      <c r="AG310" s="4"/>
      <c r="AH310">
        <f t="shared" si="48"/>
        <v>0</v>
      </c>
      <c r="AI310">
        <f t="shared" si="49"/>
        <v>0</v>
      </c>
      <c r="AJ310">
        <f t="shared" si="50"/>
        <v>0</v>
      </c>
      <c r="AK310" s="4"/>
      <c r="AL310">
        <f>SQRT((2+(($AL$3+Table4[[#This Row],[Red]])/2)/256)*($AL$3-Table4[[#This Row],[Red]])^2 + 4*($AM$3-Table4[[#This Row],[Green]])^2 + (2+(255-(($AL$3+Table4[[#This Row],[Red]])/2))/256 )*($AN$3-Table4[[#This Row],[Blue]])^2)</f>
        <v>480.48015331996282</v>
      </c>
      <c r="AM310">
        <f>SQRT((2+(($AO$3+Table4[[#This Row],[Red2]])/2)/256)*($AO$3-Table4[[#This Row],[Red2]])^2 + 4*($AP$3-Table4[[#This Row],[Green2]])^2 + (2+(255-(($AO$3+Table4[[#This Row],[Red2]])/2))/256 )*($AQ$3-Table4[[#This Row],[Blue2]])^2)</f>
        <v>0</v>
      </c>
      <c r="AN310">
        <f>SQRT(Table4[[#This Row],[diffPrimary]]^2+Table4[[#This Row],[diffSecondary]]^2)</f>
        <v>480.48015331996282</v>
      </c>
      <c r="AO310" s="2">
        <f>SQRT((2+(($AL$3+Table4[[#This Row],[Red2]])/2)/256)*($AL$3-Table4[[#This Row],[Red2]])^2 + 4*($AM$3-Table4[[#This Row],[Green2]])^2 + (2+(255-(($AL$3+Table4[[#This Row],[Red2]])/2))/256 )*($AN$3-Table4[[#This Row],[Blue2]])^2)</f>
        <v>574.92216694686158</v>
      </c>
      <c r="AP310" s="2">
        <f>SQRT((2+(($AO$3+Table4[[#This Row],[Red]])/2)/256)*($AO$3-Table4[[#This Row],[Red]])^2 + 4*($AP$3-Table4[[#This Row],[Green]])^2 + (2+(255-(($AO$3+Table4[[#This Row],[Red]])/2))/256 )*($AQ$3-Table4[[#This Row],[Blue]])^2)</f>
        <v>269.79132561111004</v>
      </c>
      <c r="AQ310" s="2">
        <f>SQRT(Table4[[#This Row],[diffPrimary2]]^2+Table4[[#This Row],[diffSecondary2]]^2)</f>
        <v>635.07704841371412</v>
      </c>
      <c r="AR310" s="786">
        <f>MIN(Table4[[#This Row],[MinOrig]],Table4[[#This Row],[MinSwap]])</f>
        <v>480.48015331996282</v>
      </c>
      <c r="AS310" s="2">
        <v>53.6958666356173</v>
      </c>
      <c r="AX310" s="4"/>
    </row>
    <row r="311" spans="1:50" x14ac:dyDescent="0.25">
      <c r="A311" t="s">
        <v>70</v>
      </c>
      <c r="B311">
        <v>166</v>
      </c>
      <c r="C311">
        <v>9</v>
      </c>
      <c r="D311">
        <v>61</v>
      </c>
      <c r="E311" s="217"/>
      <c r="F311">
        <v>0</v>
      </c>
      <c r="G311">
        <v>45</v>
      </c>
      <c r="H311">
        <v>114</v>
      </c>
      <c r="I311" s="218"/>
      <c r="J311">
        <v>215</v>
      </c>
      <c r="K311">
        <v>210</v>
      </c>
      <c r="L311">
        <v>203</v>
      </c>
      <c r="M311" s="219"/>
      <c r="Q311" s="4"/>
      <c r="U311" s="4"/>
      <c r="Y311" s="4"/>
      <c r="Z311">
        <f t="shared" si="42"/>
        <v>127.5</v>
      </c>
      <c r="AA311">
        <f t="shared" si="43"/>
        <v>0</v>
      </c>
      <c r="AB311">
        <f t="shared" si="44"/>
        <v>0</v>
      </c>
      <c r="AC311" s="27"/>
      <c r="AD311">
        <f t="shared" si="45"/>
        <v>0</v>
      </c>
      <c r="AE311">
        <f t="shared" si="46"/>
        <v>0</v>
      </c>
      <c r="AF311">
        <f t="shared" si="47"/>
        <v>127.5</v>
      </c>
      <c r="AG311" s="26"/>
      <c r="AH311">
        <f t="shared" si="48"/>
        <v>255</v>
      </c>
      <c r="AI311">
        <f t="shared" si="49"/>
        <v>255</v>
      </c>
      <c r="AJ311">
        <f t="shared" si="50"/>
        <v>255</v>
      </c>
      <c r="AK311" s="3"/>
      <c r="AL311">
        <f>SQRT((2+(($AL$3+Table4[[#This Row],[Red]])/2)/256)*($AL$3-Table4[[#This Row],[Red]])^2 + 4*($AM$3-Table4[[#This Row],[Green]])^2 + (2+(255-(($AL$3+Table4[[#This Row],[Red]])/2))/256 )*($AN$3-Table4[[#This Row],[Blue]])^2)</f>
        <v>429.07805871280578</v>
      </c>
      <c r="AM311">
        <f>SQRT((2+(($AO$3+Table4[[#This Row],[Red2]])/2)/256)*($AO$3-Table4[[#This Row],[Red2]])^2 + 4*($AP$3-Table4[[#This Row],[Green2]])^2 + (2+(255-(($AO$3+Table4[[#This Row],[Red2]])/2))/256 )*($AQ$3-Table4[[#This Row],[Blue2]])^2)</f>
        <v>216.88069156796786</v>
      </c>
      <c r="AN311">
        <f>SQRT(Table4[[#This Row],[diffPrimary]]^2+Table4[[#This Row],[diffSecondary]]^2)</f>
        <v>480.77563877941031</v>
      </c>
      <c r="AO311" s="2">
        <f>SQRT((2+(($AL$3+Table4[[#This Row],[Red2]])/2)/256)*($AL$3-Table4[[#This Row],[Red2]])^2 + 4*($AM$3-Table4[[#This Row],[Green2]])^2 + (2+(255-(($AL$3+Table4[[#This Row],[Red2]])/2))/256 )*($AN$3-Table4[[#This Row],[Blue2]])^2)</f>
        <v>545.2523408793171</v>
      </c>
      <c r="AP311" s="2">
        <f>SQRT((2+(($AO$3+Table4[[#This Row],[Red]])/2)/256)*($AO$3-Table4[[#This Row],[Red]])^2 + 4*($AP$3-Table4[[#This Row],[Green]])^2 + (2+(255-(($AO$3+Table4[[#This Row],[Red]])/2))/256 )*($AQ$3-Table4[[#This Row],[Blue]])^2)</f>
        <v>272.60267561049358</v>
      </c>
      <c r="AQ311" s="2">
        <f>SQRT(Table4[[#This Row],[diffPrimary2]]^2+Table4[[#This Row],[diffSecondary2]]^2)</f>
        <v>609.600142703703</v>
      </c>
      <c r="AR311" s="786">
        <f>MIN(Table4[[#This Row],[MinOrig]],Table4[[#This Row],[MinSwap]])</f>
        <v>480.77563877941031</v>
      </c>
      <c r="AS311" s="2">
        <v>62.0293529306892</v>
      </c>
      <c r="AX311" s="4"/>
    </row>
    <row r="312" spans="1:50" x14ac:dyDescent="0.25">
      <c r="A312" t="s">
        <v>275</v>
      </c>
      <c r="B312">
        <v>97</v>
      </c>
      <c r="C312">
        <v>51</v>
      </c>
      <c r="D312">
        <v>147</v>
      </c>
      <c r="E312" s="510"/>
      <c r="F312">
        <v>255</v>
      </c>
      <c r="G312">
        <v>255</v>
      </c>
      <c r="H312">
        <v>255</v>
      </c>
      <c r="I312" s="3"/>
      <c r="M312" s="4"/>
      <c r="Q312" s="4"/>
      <c r="U312" s="4"/>
      <c r="Y312" s="4"/>
      <c r="Z312">
        <f t="shared" si="42"/>
        <v>127.5</v>
      </c>
      <c r="AA312">
        <f t="shared" si="43"/>
        <v>0</v>
      </c>
      <c r="AB312">
        <f t="shared" si="44"/>
        <v>127.5</v>
      </c>
      <c r="AC312" s="30"/>
      <c r="AD312">
        <f t="shared" si="45"/>
        <v>255</v>
      </c>
      <c r="AE312">
        <f t="shared" si="46"/>
        <v>255</v>
      </c>
      <c r="AF312">
        <f t="shared" si="47"/>
        <v>255</v>
      </c>
      <c r="AG312" s="3"/>
      <c r="AH312">
        <f t="shared" si="48"/>
        <v>0</v>
      </c>
      <c r="AI312">
        <f t="shared" si="49"/>
        <v>0</v>
      </c>
      <c r="AJ312">
        <f t="shared" si="50"/>
        <v>0</v>
      </c>
      <c r="AK312" s="4"/>
      <c r="AL312">
        <f>SQRT((2+(($AL$3+Table4[[#This Row],[Red]])/2)/256)*($AL$3-Table4[[#This Row],[Red]])^2 + 4*($AM$3-Table4[[#This Row],[Green]])^2 + (2+(255-(($AL$3+Table4[[#This Row],[Red]])/2))/256 )*($AN$3-Table4[[#This Row],[Blue]])^2)</f>
        <v>460.26204747268702</v>
      </c>
      <c r="AM312">
        <f>SQRT((2+(($AO$3+Table4[[#This Row],[Red2]])/2)/256)*($AO$3-Table4[[#This Row],[Red2]])^2 + 4*($AP$3-Table4[[#This Row],[Green2]])^2 + (2+(255-(($AO$3+Table4[[#This Row],[Red2]])/2))/256 )*($AQ$3-Table4[[#This Row],[Blue2]])^2)</f>
        <v>764.83396635724148</v>
      </c>
      <c r="AN312">
        <f>SQRT(Table4[[#This Row],[diffPrimary]]^2+Table4[[#This Row],[diffSecondary]]^2)</f>
        <v>892.64334895718571</v>
      </c>
      <c r="AO312" s="2">
        <f>SQRT((2+(($AL$3+Table4[[#This Row],[Red2]])/2)/256)*($AL$3-Table4[[#This Row],[Red2]])^2 + 4*($AM$3-Table4[[#This Row],[Green2]])^2 + (2+(255-(($AL$3+Table4[[#This Row],[Red2]])/2))/256 )*($AN$3-Table4[[#This Row],[Blue2]])^2)</f>
        <v>374.23254802328461</v>
      </c>
      <c r="AP312" s="2">
        <f>SQRT((2+(($AO$3+Table4[[#This Row],[Red]])/2)/256)*($AO$3-Table4[[#This Row],[Red]])^2 + 4*($AP$3-Table4[[#This Row],[Green]])^2 + (2+(255-(($AO$3+Table4[[#This Row],[Red]])/2))/256 )*($AQ$3-Table4[[#This Row],[Blue]])^2)</f>
        <v>302.7428970574702</v>
      </c>
      <c r="AQ312" s="2">
        <f>SQRT(Table4[[#This Row],[diffPrimary2]]^2+Table4[[#This Row],[diffSecondary2]]^2)</f>
        <v>481.355649929187</v>
      </c>
      <c r="AR312" s="786">
        <f>MIN(Table4[[#This Row],[MinOrig]],Table4[[#This Row],[MinSwap]])</f>
        <v>481.355649929187</v>
      </c>
      <c r="AS312" s="2">
        <v>20.206212302779601</v>
      </c>
      <c r="AX312" s="4"/>
    </row>
    <row r="313" spans="1:50" x14ac:dyDescent="0.25">
      <c r="A313" t="s">
        <v>157</v>
      </c>
      <c r="B313">
        <v>0</v>
      </c>
      <c r="C313">
        <v>177</v>
      </c>
      <c r="D313">
        <v>64</v>
      </c>
      <c r="E313" s="363"/>
      <c r="F313">
        <v>162</v>
      </c>
      <c r="G313">
        <v>170</v>
      </c>
      <c r="H313">
        <v>173</v>
      </c>
      <c r="I313" s="188"/>
      <c r="J313">
        <v>105</v>
      </c>
      <c r="K313">
        <v>63</v>
      </c>
      <c r="L313">
        <v>35</v>
      </c>
      <c r="M313" s="364"/>
      <c r="N313">
        <v>173</v>
      </c>
      <c r="O313">
        <v>124</v>
      </c>
      <c r="P313">
        <v>89</v>
      </c>
      <c r="Q313" s="365"/>
      <c r="R313">
        <v>39</v>
      </c>
      <c r="S313">
        <v>37</v>
      </c>
      <c r="T313">
        <v>31</v>
      </c>
      <c r="U313" s="163"/>
      <c r="Y313" s="4"/>
      <c r="Z313">
        <f t="shared" si="42"/>
        <v>0</v>
      </c>
      <c r="AA313">
        <f t="shared" si="43"/>
        <v>127.5</v>
      </c>
      <c r="AB313">
        <f t="shared" si="44"/>
        <v>127.5</v>
      </c>
      <c r="AC313" s="24"/>
      <c r="AD313">
        <f t="shared" si="45"/>
        <v>127.5</v>
      </c>
      <c r="AE313">
        <f t="shared" si="46"/>
        <v>127.5</v>
      </c>
      <c r="AF313">
        <f t="shared" si="47"/>
        <v>127.5</v>
      </c>
      <c r="AG313" s="32"/>
      <c r="AH313">
        <f t="shared" si="48"/>
        <v>127.5</v>
      </c>
      <c r="AI313">
        <f t="shared" si="49"/>
        <v>0</v>
      </c>
      <c r="AJ313">
        <f t="shared" si="50"/>
        <v>0</v>
      </c>
      <c r="AK313" s="27"/>
      <c r="AL313">
        <f>SQRT((2+(($AL$3+Table4[[#This Row],[Red]])/2)/256)*($AL$3-Table4[[#This Row],[Red]])^2 + 4*($AM$3-Table4[[#This Row],[Green]])^2 + (2+(255-(($AL$3+Table4[[#This Row],[Red]])/2))/256 )*($AN$3-Table4[[#This Row],[Blue]])^2)</f>
        <v>419.28927728583164</v>
      </c>
      <c r="AM313">
        <f>SQRT((2+(($AO$3+Table4[[#This Row],[Red2]])/2)/256)*($AO$3-Table4[[#This Row],[Red2]])^2 + 4*($AP$3-Table4[[#This Row],[Green2]])^2 + (2+(255-(($AO$3+Table4[[#This Row],[Red2]])/2))/256 )*($AQ$3-Table4[[#This Row],[Blue2]])^2)</f>
        <v>506.54924026445838</v>
      </c>
      <c r="AN313">
        <f>SQRT(Table4[[#This Row],[diffPrimary]]^2+Table4[[#This Row],[diffSecondary]]^2)</f>
        <v>657.56796672235714</v>
      </c>
      <c r="AO313" s="2">
        <f>SQRT((2+(($AL$3+Table4[[#This Row],[Red2]])/2)/256)*($AL$3-Table4[[#This Row],[Red2]])^2 + 4*($AM$3-Table4[[#This Row],[Green2]])^2 + (2+(255-(($AL$3+Table4[[#This Row],[Red2]])/2))/256 )*($AN$3-Table4[[#This Row],[Blue2]])^2)</f>
        <v>307.46792896780306</v>
      </c>
      <c r="AP313" s="2">
        <f>SQRT((2+(($AO$3+Table4[[#This Row],[Red]])/2)/256)*($AO$3-Table4[[#This Row],[Red]])^2 + 4*($AP$3-Table4[[#This Row],[Green]])^2 + (2+(255-(($AO$3+Table4[[#This Row],[Red]])/2))/256 )*($AQ$3-Table4[[#This Row],[Blue]])^2)</f>
        <v>370.92856455118147</v>
      </c>
      <c r="AQ313" s="2">
        <f>SQRT(Table4[[#This Row],[diffPrimary2]]^2+Table4[[#This Row],[diffSecondary2]]^2)</f>
        <v>481.7930337227283</v>
      </c>
      <c r="AR313" s="786">
        <f>MIN(Table4[[#This Row],[MinOrig]],Table4[[#This Row],[MinSwap]])</f>
        <v>481.7930337227283</v>
      </c>
      <c r="AS313" s="2">
        <v>49.446585764337698</v>
      </c>
      <c r="AX313" s="4"/>
    </row>
    <row r="314" spans="1:50" x14ac:dyDescent="0.25">
      <c r="A314" t="s">
        <v>145</v>
      </c>
      <c r="B314">
        <v>0</v>
      </c>
      <c r="C314">
        <v>47</v>
      </c>
      <c r="D314">
        <v>139</v>
      </c>
      <c r="E314" s="343"/>
      <c r="F314">
        <v>255</v>
      </c>
      <c r="G314">
        <v>0</v>
      </c>
      <c r="H314">
        <v>0</v>
      </c>
      <c r="I314" s="5"/>
      <c r="J314">
        <v>162</v>
      </c>
      <c r="K314">
        <v>170</v>
      </c>
      <c r="L314">
        <v>173</v>
      </c>
      <c r="M314" s="188"/>
      <c r="N314">
        <v>0</v>
      </c>
      <c r="O314">
        <v>0</v>
      </c>
      <c r="P314">
        <v>0</v>
      </c>
      <c r="Q314" s="4"/>
      <c r="U314" s="4"/>
      <c r="Y314" s="4"/>
      <c r="Z314">
        <f t="shared" si="42"/>
        <v>0</v>
      </c>
      <c r="AA314">
        <f t="shared" si="43"/>
        <v>0</v>
      </c>
      <c r="AB314">
        <f t="shared" si="44"/>
        <v>127.5</v>
      </c>
      <c r="AC314" s="26"/>
      <c r="AD314">
        <f t="shared" si="45"/>
        <v>255</v>
      </c>
      <c r="AE314">
        <f t="shared" si="46"/>
        <v>0</v>
      </c>
      <c r="AF314">
        <f t="shared" si="47"/>
        <v>0</v>
      </c>
      <c r="AG314" s="5"/>
      <c r="AH314">
        <f t="shared" si="48"/>
        <v>127.5</v>
      </c>
      <c r="AI314">
        <f t="shared" si="49"/>
        <v>127.5</v>
      </c>
      <c r="AJ314">
        <f t="shared" si="50"/>
        <v>127.5</v>
      </c>
      <c r="AK314" s="32"/>
      <c r="AL314">
        <f>SQRT((2+(($AL$3+Table4[[#This Row],[Red]])/2)/256)*($AL$3-Table4[[#This Row],[Red]])^2 + 4*($AM$3-Table4[[#This Row],[Green]])^2 + (2+(255-(($AL$3+Table4[[#This Row],[Red]])/2))/256 )*($AN$3-Table4[[#This Row],[Blue]])^2)</f>
        <v>557.27575016211676</v>
      </c>
      <c r="AM314">
        <f>SQRT((2+(($AO$3+Table4[[#This Row],[Red2]])/2)/256)*($AO$3-Table4[[#This Row],[Red2]])^2 + 4*($AP$3-Table4[[#This Row],[Green2]])^2 + (2+(255-(($AO$3+Table4[[#This Row],[Red2]])/2))/256 )*($AQ$3-Table4[[#This Row],[Blue2]])^2)</f>
        <v>403.03287464780709</v>
      </c>
      <c r="AN314">
        <f>SQRT(Table4[[#This Row],[diffPrimary]]^2+Table4[[#This Row],[diffSecondary]]^2)</f>
        <v>687.74396381620465</v>
      </c>
      <c r="AO314" s="2">
        <f>SQRT((2+(($AL$3+Table4[[#This Row],[Red2]])/2)/256)*($AL$3-Table4[[#This Row],[Red2]])^2 + 4*($AM$3-Table4[[#This Row],[Green2]])^2 + (2+(255-(($AL$3+Table4[[#This Row],[Red2]])/2))/256 )*($AN$3-Table4[[#This Row],[Blue2]])^2)</f>
        <v>410</v>
      </c>
      <c r="AP314" s="2">
        <f>SQRT((2+(($AO$3+Table4[[#This Row],[Red]])/2)/256)*($AO$3-Table4[[#This Row],[Red]])^2 + 4*($AP$3-Table4[[#This Row],[Green]])^2 + (2+(255-(($AO$3+Table4[[#This Row],[Red]])/2))/256 )*($AQ$3-Table4[[#This Row],[Blue]])^2)</f>
        <v>258.30897650633437</v>
      </c>
      <c r="AQ314" s="2">
        <f>SQRT(Table4[[#This Row],[diffPrimary2]]^2+Table4[[#This Row],[diffSecondary2]]^2)</f>
        <v>484.58593391033338</v>
      </c>
      <c r="AR314" s="786">
        <f>MIN(Table4[[#This Row],[MinOrig]],Table4[[#This Row],[MinSwap]])</f>
        <v>484.58593391033338</v>
      </c>
      <c r="AS314" s="2">
        <v>108.018878558333</v>
      </c>
      <c r="AX314" s="4"/>
    </row>
    <row r="315" spans="1:50" x14ac:dyDescent="0.25">
      <c r="A315" t="s">
        <v>215</v>
      </c>
      <c r="B315">
        <v>255</v>
      </c>
      <c r="C315">
        <v>124</v>
      </c>
      <c r="D315">
        <v>25</v>
      </c>
      <c r="E315" s="432"/>
      <c r="F315">
        <v>255</v>
      </c>
      <c r="G315">
        <v>153</v>
      </c>
      <c r="H315">
        <v>0</v>
      </c>
      <c r="I315" s="131"/>
      <c r="J315">
        <v>190</v>
      </c>
      <c r="K315">
        <v>190</v>
      </c>
      <c r="L315">
        <v>190</v>
      </c>
      <c r="M315" s="433"/>
      <c r="N315">
        <v>0</v>
      </c>
      <c r="O315">
        <v>0</v>
      </c>
      <c r="P315">
        <v>0</v>
      </c>
      <c r="Q315" s="4"/>
      <c r="U315" s="4"/>
      <c r="Y315" s="4"/>
      <c r="Z315">
        <f t="shared" si="42"/>
        <v>255</v>
      </c>
      <c r="AA315">
        <f t="shared" si="43"/>
        <v>127.5</v>
      </c>
      <c r="AB315">
        <f t="shared" si="44"/>
        <v>0</v>
      </c>
      <c r="AC315" s="28"/>
      <c r="AD315">
        <f t="shared" si="45"/>
        <v>255</v>
      </c>
      <c r="AE315">
        <f t="shared" si="46"/>
        <v>127.5</v>
      </c>
      <c r="AF315">
        <f t="shared" si="47"/>
        <v>0</v>
      </c>
      <c r="AG315" s="28"/>
      <c r="AH315">
        <f t="shared" si="48"/>
        <v>127.5</v>
      </c>
      <c r="AI315">
        <f t="shared" si="49"/>
        <v>127.5</v>
      </c>
      <c r="AJ315">
        <f t="shared" si="50"/>
        <v>127.5</v>
      </c>
      <c r="AK315" s="32"/>
      <c r="AL315">
        <f>SQRT((2+(($AL$3+Table4[[#This Row],[Red]])/2)/256)*($AL$3-Table4[[#This Row],[Red]])^2 + 4*($AM$3-Table4[[#This Row],[Green]])^2 + (2+(255-(($AL$3+Table4[[#This Row],[Red]])/2))/256 )*($AN$3-Table4[[#This Row],[Blue]])^2)</f>
        <v>165.81314785022326</v>
      </c>
      <c r="AM315">
        <f>SQRT((2+(($AO$3+Table4[[#This Row],[Red2]])/2)/256)*($AO$3-Table4[[#This Row],[Red2]])^2 + 4*($AP$3-Table4[[#This Row],[Green2]])^2 + (2+(255-(($AO$3+Table4[[#This Row],[Red2]])/2))/256 )*($AQ$3-Table4[[#This Row],[Blue2]])^2)</f>
        <v>506.03507590568756</v>
      </c>
      <c r="AN315">
        <f>SQRT(Table4[[#This Row],[diffPrimary]]^2+Table4[[#This Row],[diffSecondary]]^2)</f>
        <v>532.50868354128738</v>
      </c>
      <c r="AO315" s="2">
        <f>SQRT((2+(($AL$3+Table4[[#This Row],[Red2]])/2)/256)*($AL$3-Table4[[#This Row],[Red2]])^2 + 4*($AM$3-Table4[[#This Row],[Green2]])^2 + (2+(255-(($AL$3+Table4[[#This Row],[Red2]])/2))/256 )*($AN$3-Table4[[#This Row],[Blue2]])^2)</f>
        <v>104</v>
      </c>
      <c r="AP315" s="2">
        <f>SQRT((2+(($AO$3+Table4[[#This Row],[Red]])/2)/256)*($AO$3-Table4[[#This Row],[Red]])^2 + 4*($AP$3-Table4[[#This Row],[Green]])^2 + (2+(255-(($AO$3+Table4[[#This Row],[Red]])/2))/256 )*($AQ$3-Table4[[#This Row],[Blue]])^2)</f>
        <v>474.86922130598231</v>
      </c>
      <c r="AQ315" s="2">
        <f>SQRT(Table4[[#This Row],[diffPrimary2]]^2+Table4[[#This Row],[diffSecondary2]]^2)</f>
        <v>486.12424064610275</v>
      </c>
      <c r="AR315" s="786">
        <f>MIN(Table4[[#This Row],[MinOrig]],Table4[[#This Row],[MinSwap]])</f>
        <v>486.12424064610275</v>
      </c>
      <c r="AS315" s="2">
        <v>94.944504761334102</v>
      </c>
      <c r="AX315" s="4"/>
    </row>
    <row r="316" spans="1:50" x14ac:dyDescent="0.25">
      <c r="A316" t="s">
        <v>198</v>
      </c>
      <c r="B316">
        <v>0</v>
      </c>
      <c r="C316">
        <v>61</v>
      </c>
      <c r="D316">
        <v>165</v>
      </c>
      <c r="E316" s="512"/>
      <c r="F316">
        <v>255</v>
      </c>
      <c r="G316">
        <v>255</v>
      </c>
      <c r="H316">
        <v>255</v>
      </c>
      <c r="I316" s="3"/>
      <c r="J316">
        <v>128</v>
      </c>
      <c r="K316">
        <v>130</v>
      </c>
      <c r="L316">
        <v>133</v>
      </c>
      <c r="M316" s="274"/>
      <c r="N316">
        <v>199</v>
      </c>
      <c r="O316">
        <v>200</v>
      </c>
      <c r="P316">
        <v>202</v>
      </c>
      <c r="Q316" s="580"/>
      <c r="R316">
        <v>227</v>
      </c>
      <c r="S316">
        <v>24</v>
      </c>
      <c r="T316">
        <v>55</v>
      </c>
      <c r="U316" s="87"/>
      <c r="V316">
        <v>35</v>
      </c>
      <c r="W316">
        <v>31</v>
      </c>
      <c r="X316">
        <v>32</v>
      </c>
      <c r="Y316" s="10"/>
      <c r="Z316">
        <f t="shared" si="42"/>
        <v>0</v>
      </c>
      <c r="AA316">
        <f t="shared" si="43"/>
        <v>0</v>
      </c>
      <c r="AB316">
        <f t="shared" si="44"/>
        <v>127.5</v>
      </c>
      <c r="AC316" s="26"/>
      <c r="AD316">
        <f t="shared" si="45"/>
        <v>255</v>
      </c>
      <c r="AE316">
        <f t="shared" si="46"/>
        <v>255</v>
      </c>
      <c r="AF316">
        <f t="shared" si="47"/>
        <v>255</v>
      </c>
      <c r="AG316" s="3"/>
      <c r="AH316">
        <f t="shared" si="48"/>
        <v>127.5</v>
      </c>
      <c r="AI316">
        <f t="shared" si="49"/>
        <v>127.5</v>
      </c>
      <c r="AJ316">
        <f t="shared" si="50"/>
        <v>127.5</v>
      </c>
      <c r="AK316" s="32"/>
      <c r="AL316">
        <f>SQRT((2+(($AL$3+Table4[[#This Row],[Red]])/2)/256)*($AL$3-Table4[[#This Row],[Red]])^2 + 4*($AM$3-Table4[[#This Row],[Green]])^2 + (2+(255-(($AL$3+Table4[[#This Row],[Red]])/2))/256 )*($AN$3-Table4[[#This Row],[Blue]])^2)</f>
        <v>559.8114184426305</v>
      </c>
      <c r="AM316">
        <f>SQRT((2+(($AO$3+Table4[[#This Row],[Red2]])/2)/256)*($AO$3-Table4[[#This Row],[Red2]])^2 + 4*($AP$3-Table4[[#This Row],[Green2]])^2 + (2+(255-(($AO$3+Table4[[#This Row],[Red2]])/2))/256 )*($AQ$3-Table4[[#This Row],[Blue2]])^2)</f>
        <v>764.83396635724148</v>
      </c>
      <c r="AN316">
        <f>SQRT(Table4[[#This Row],[diffPrimary]]^2+Table4[[#This Row],[diffSecondary]]^2)</f>
        <v>947.8184532453987</v>
      </c>
      <c r="AO316" s="2">
        <f>SQRT((2+(($AL$3+Table4[[#This Row],[Red2]])/2)/256)*($AL$3-Table4[[#This Row],[Red2]])^2 + 4*($AM$3-Table4[[#This Row],[Green2]])^2 + (2+(255-(($AL$3+Table4[[#This Row],[Red2]])/2))/256 )*($AN$3-Table4[[#This Row],[Blue2]])^2)</f>
        <v>374.23254802328461</v>
      </c>
      <c r="AP316" s="2">
        <f>SQRT((2+(($AO$3+Table4[[#This Row],[Red]])/2)/256)*($AO$3-Table4[[#This Row],[Red]])^2 + 4*($AP$3-Table4[[#This Row],[Green]])^2 + (2+(255-(($AO$3+Table4[[#This Row],[Red]])/2))/256 )*($AQ$3-Table4[[#This Row],[Blue]])^2)</f>
        <v>310.56827324076426</v>
      </c>
      <c r="AQ316" s="2">
        <f>SQRT(Table4[[#This Row],[diffPrimary2]]^2+Table4[[#This Row],[diffSecondary2]]^2)</f>
        <v>486.31538361823397</v>
      </c>
      <c r="AR316" s="786">
        <f>MIN(Table4[[#This Row],[MinOrig]],Table4[[#This Row],[MinSwap]])</f>
        <v>486.31538361823397</v>
      </c>
      <c r="AS316" s="2">
        <v>21.7922542145139</v>
      </c>
      <c r="AX316" s="4"/>
    </row>
    <row r="317" spans="1:50" x14ac:dyDescent="0.25">
      <c r="A317" t="s">
        <v>93</v>
      </c>
      <c r="B317">
        <v>32</v>
      </c>
      <c r="C317">
        <v>21</v>
      </c>
      <c r="D317">
        <v>71</v>
      </c>
      <c r="E317" s="251"/>
      <c r="F317">
        <v>88</v>
      </c>
      <c r="G317">
        <v>44</v>
      </c>
      <c r="H317">
        <v>131</v>
      </c>
      <c r="I317" s="252"/>
      <c r="J317">
        <v>167</v>
      </c>
      <c r="K317">
        <v>168</v>
      </c>
      <c r="L317">
        <v>170</v>
      </c>
      <c r="M317" s="253"/>
      <c r="Q317" s="4"/>
      <c r="U317" s="4"/>
      <c r="Y317" s="4"/>
      <c r="Z317">
        <f t="shared" si="42"/>
        <v>0</v>
      </c>
      <c r="AA317">
        <f t="shared" si="43"/>
        <v>0</v>
      </c>
      <c r="AB317">
        <f t="shared" si="44"/>
        <v>127.5</v>
      </c>
      <c r="AC317" s="26"/>
      <c r="AD317">
        <f t="shared" si="45"/>
        <v>127.5</v>
      </c>
      <c r="AE317">
        <f t="shared" si="46"/>
        <v>0</v>
      </c>
      <c r="AF317">
        <f t="shared" si="47"/>
        <v>127.5</v>
      </c>
      <c r="AG317" s="30"/>
      <c r="AH317">
        <f t="shared" si="48"/>
        <v>127.5</v>
      </c>
      <c r="AI317">
        <f t="shared" si="49"/>
        <v>127.5</v>
      </c>
      <c r="AJ317">
        <f t="shared" si="50"/>
        <v>127.5</v>
      </c>
      <c r="AK317" s="32"/>
      <c r="AL317">
        <f>SQRT((2+(($AL$3+Table4[[#This Row],[Red]])/2)/256)*($AL$3-Table4[[#This Row],[Red]])^2 + 4*($AM$3-Table4[[#This Row],[Green]])^2 + (2+(255-(($AL$3+Table4[[#This Row],[Red]])/2))/256 )*($AN$3-Table4[[#This Row],[Blue]])^2)</f>
        <v>524.43782028353939</v>
      </c>
      <c r="AM317">
        <f>SQRT((2+(($AO$3+Table4[[#This Row],[Red2]])/2)/256)*($AO$3-Table4[[#This Row],[Red2]])^2 + 4*($AP$3-Table4[[#This Row],[Green2]])^2 + (2+(255-(($AO$3+Table4[[#This Row],[Red2]])/2))/256 )*($AQ$3-Table4[[#This Row],[Blue2]])^2)</f>
        <v>270.23955663216663</v>
      </c>
      <c r="AN317">
        <f>SQRT(Table4[[#This Row],[diffPrimary]]^2+Table4[[#This Row],[diffSecondary]]^2)</f>
        <v>589.96986813946694</v>
      </c>
      <c r="AO317" s="2">
        <f>SQRT((2+(($AL$3+Table4[[#This Row],[Red2]])/2)/256)*($AL$3-Table4[[#This Row],[Red2]])^2 + 4*($AM$3-Table4[[#This Row],[Green2]])^2 + (2+(255-(($AL$3+Table4[[#This Row],[Red2]])/2))/256 )*($AN$3-Table4[[#This Row],[Blue2]])^2)</f>
        <v>466.97418206871993</v>
      </c>
      <c r="AP317" s="2">
        <f>SQRT((2+(($AO$3+Table4[[#This Row],[Red]])/2)/256)*($AO$3-Table4[[#This Row],[Red]])^2 + 4*($AP$3-Table4[[#This Row],[Green]])^2 + (2+(255-(($AO$3+Table4[[#This Row],[Red]])/2))/256 )*($AQ$3-Table4[[#This Row],[Blue]])^2)</f>
        <v>136.61715153577899</v>
      </c>
      <c r="AQ317" s="2">
        <f>SQRT(Table4[[#This Row],[diffPrimary2]]^2+Table4[[#This Row],[diffSecondary2]]^2)</f>
        <v>486.54818138854449</v>
      </c>
      <c r="AR317" s="786">
        <f>MIN(Table4[[#This Row],[MinOrig]],Table4[[#This Row],[MinSwap]])</f>
        <v>486.54818138854449</v>
      </c>
      <c r="AS317" s="2">
        <v>116.660297445189</v>
      </c>
      <c r="AX317" s="4"/>
    </row>
    <row r="318" spans="1:50" x14ac:dyDescent="0.25">
      <c r="A318" t="s">
        <v>83</v>
      </c>
      <c r="B318">
        <v>224</v>
      </c>
      <c r="C318">
        <v>58</v>
      </c>
      <c r="D318">
        <v>62</v>
      </c>
      <c r="E318" s="234"/>
      <c r="F318">
        <v>188</v>
      </c>
      <c r="G318">
        <v>190</v>
      </c>
      <c r="H318">
        <v>192</v>
      </c>
      <c r="I318" s="235"/>
      <c r="J318">
        <v>0</v>
      </c>
      <c r="K318">
        <v>0</v>
      </c>
      <c r="L318">
        <v>0</v>
      </c>
      <c r="M318" s="4"/>
      <c r="N318">
        <v>255</v>
      </c>
      <c r="O318">
        <v>255</v>
      </c>
      <c r="P318">
        <v>255</v>
      </c>
      <c r="Q318" s="3"/>
      <c r="U318" s="4"/>
      <c r="Y318" s="4"/>
      <c r="Z318">
        <f t="shared" si="42"/>
        <v>255</v>
      </c>
      <c r="AA318">
        <f t="shared" si="43"/>
        <v>0</v>
      </c>
      <c r="AB318">
        <f t="shared" si="44"/>
        <v>0</v>
      </c>
      <c r="AC318" s="5"/>
      <c r="AD318">
        <f t="shared" si="45"/>
        <v>127.5</v>
      </c>
      <c r="AE318">
        <f t="shared" si="46"/>
        <v>127.5</v>
      </c>
      <c r="AF318">
        <f t="shared" si="47"/>
        <v>255</v>
      </c>
      <c r="AG318" s="37"/>
      <c r="AH318">
        <f t="shared" si="48"/>
        <v>0</v>
      </c>
      <c r="AI318">
        <f t="shared" si="49"/>
        <v>0</v>
      </c>
      <c r="AJ318">
        <f t="shared" si="50"/>
        <v>0</v>
      </c>
      <c r="AK318" s="4"/>
      <c r="AL318">
        <f>SQRT((2+(($AL$3+Table4[[#This Row],[Red]])/2)/256)*($AL$3-Table4[[#This Row],[Red]])^2 + 4*($AM$3-Table4[[#This Row],[Green]])^2 + (2+(255-(($AL$3+Table4[[#This Row],[Red]])/2))/256 )*($AN$3-Table4[[#This Row],[Blue]])^2)</f>
        <v>311.73354444841993</v>
      </c>
      <c r="AM318">
        <f>SQRT((2+(($AO$3+Table4[[#This Row],[Red2]])/2)/256)*($AO$3-Table4[[#This Row],[Red2]])^2 + 4*($AP$3-Table4[[#This Row],[Green2]])^2 + (2+(255-(($AO$3+Table4[[#This Row],[Red2]])/2))/256 )*($AQ$3-Table4[[#This Row],[Blue2]])^2)</f>
        <v>570.06830731062394</v>
      </c>
      <c r="AN318">
        <f>SQRT(Table4[[#This Row],[diffPrimary]]^2+Table4[[#This Row],[diffSecondary]]^2)</f>
        <v>649.73508273324364</v>
      </c>
      <c r="AO318" s="2">
        <f>SQRT((2+(($AL$3+Table4[[#This Row],[Red2]])/2)/256)*($AL$3-Table4[[#This Row],[Red2]])^2 + 4*($AM$3-Table4[[#This Row],[Green2]])^2 + (2+(255-(($AL$3+Table4[[#This Row],[Red2]])/2))/256 )*($AN$3-Table4[[#This Row],[Blue2]])^2)</f>
        <v>303.83225159514421</v>
      </c>
      <c r="AP318" s="2">
        <f>SQRT((2+(($AO$3+Table4[[#This Row],[Red]])/2)/256)*($AO$3-Table4[[#This Row],[Red]])^2 + 4*($AP$3-Table4[[#This Row],[Green]])^2 + (2+(255-(($AO$3+Table4[[#This Row],[Red]])/2))/256 )*($AQ$3-Table4[[#This Row],[Blue]])^2)</f>
        <v>381.56943585014773</v>
      </c>
      <c r="AQ318" s="2">
        <f>SQRT(Table4[[#This Row],[diffPrimary2]]^2+Table4[[#This Row],[diffSecondary2]]^2)</f>
        <v>487.75944017965969</v>
      </c>
      <c r="AR318" s="786">
        <f>MIN(Table4[[#This Row],[MinOrig]],Table4[[#This Row],[MinSwap]])</f>
        <v>487.75944017965969</v>
      </c>
      <c r="AS318" s="2">
        <v>77.770068752380595</v>
      </c>
      <c r="AX318" s="4"/>
    </row>
    <row r="319" spans="1:50" x14ac:dyDescent="0.25">
      <c r="A319" t="s">
        <v>26</v>
      </c>
      <c r="B319">
        <v>204</v>
      </c>
      <c r="C319">
        <v>0</v>
      </c>
      <c r="D319">
        <v>0</v>
      </c>
      <c r="E319" s="109"/>
      <c r="F319">
        <v>163</v>
      </c>
      <c r="G319">
        <v>1</v>
      </c>
      <c r="H319">
        <v>27</v>
      </c>
      <c r="I319" s="110"/>
      <c r="J319">
        <v>35</v>
      </c>
      <c r="K319">
        <v>31</v>
      </c>
      <c r="L319">
        <v>32</v>
      </c>
      <c r="M319" s="10"/>
      <c r="N319">
        <v>146</v>
      </c>
      <c r="O319">
        <v>148</v>
      </c>
      <c r="P319">
        <v>151</v>
      </c>
      <c r="Q319" s="62"/>
      <c r="R319">
        <v>230</v>
      </c>
      <c r="S319">
        <v>230</v>
      </c>
      <c r="T319">
        <v>231</v>
      </c>
      <c r="U319" s="111"/>
      <c r="V319">
        <v>255</v>
      </c>
      <c r="W319">
        <v>255</v>
      </c>
      <c r="X319">
        <v>255</v>
      </c>
      <c r="Y319" s="3"/>
      <c r="Z319">
        <f t="shared" si="42"/>
        <v>255</v>
      </c>
      <c r="AA319">
        <f t="shared" si="43"/>
        <v>0</v>
      </c>
      <c r="AB319">
        <f t="shared" si="44"/>
        <v>0</v>
      </c>
      <c r="AC319" s="5"/>
      <c r="AD319">
        <f t="shared" si="45"/>
        <v>127.5</v>
      </c>
      <c r="AE319">
        <f t="shared" si="46"/>
        <v>0</v>
      </c>
      <c r="AF319">
        <f t="shared" si="47"/>
        <v>0</v>
      </c>
      <c r="AG319" s="27"/>
      <c r="AH319">
        <f t="shared" si="48"/>
        <v>0</v>
      </c>
      <c r="AI319">
        <f t="shared" si="49"/>
        <v>0</v>
      </c>
      <c r="AJ319">
        <f t="shared" si="50"/>
        <v>0</v>
      </c>
      <c r="AK319" s="4"/>
      <c r="AL319">
        <f>SQRT((2+(($AL$3+Table4[[#This Row],[Red]])/2)/256)*($AL$3-Table4[[#This Row],[Red]])^2 + 4*($AM$3-Table4[[#This Row],[Green]])^2 + (2+(255-(($AL$3+Table4[[#This Row],[Red]])/2))/256 )*($AN$3-Table4[[#This Row],[Blue]])^2)</f>
        <v>419.08681184138328</v>
      </c>
      <c r="AM319">
        <f>SQRT((2+(($AO$3+Table4[[#This Row],[Red2]])/2)/256)*($AO$3-Table4[[#This Row],[Red2]])^2 + 4*($AP$3-Table4[[#This Row],[Green2]])^2 + (2+(255-(($AO$3+Table4[[#This Row],[Red2]])/2))/256 )*($AQ$3-Table4[[#This Row],[Blue2]])^2)</f>
        <v>252.09632800528848</v>
      </c>
      <c r="AN319">
        <f>SQRT(Table4[[#This Row],[diffPrimary]]^2+Table4[[#This Row],[diffSecondary]]^2)</f>
        <v>489.06677913463415</v>
      </c>
      <c r="AO319" s="2">
        <f>SQRT((2+(($AL$3+Table4[[#This Row],[Red2]])/2)/256)*($AL$3-Table4[[#This Row],[Red2]])^2 + 4*($AM$3-Table4[[#This Row],[Green2]])^2 + (2+(255-(($AL$3+Table4[[#This Row],[Red2]])/2))/256 )*($AN$3-Table4[[#This Row],[Blue2]])^2)</f>
        <v>438.05371210332186</v>
      </c>
      <c r="AP319" s="2">
        <f>SQRT((2+(($AO$3+Table4[[#This Row],[Red]])/2)/256)*($AO$3-Table4[[#This Row],[Red]])^2 + 4*($AP$3-Table4[[#This Row],[Green]])^2 + (2+(255-(($AO$3+Table4[[#This Row],[Red]])/2))/256 )*($AQ$3-Table4[[#This Row],[Blue]])^2)</f>
        <v>315.93254818077861</v>
      </c>
      <c r="AQ319" s="2">
        <f>SQRT(Table4[[#This Row],[diffPrimary2]]^2+Table4[[#This Row],[diffSecondary2]]^2)</f>
        <v>540.09668549945764</v>
      </c>
      <c r="AR319" s="786">
        <f>MIN(Table4[[#This Row],[MinOrig]],Table4[[#This Row],[MinSwap]])</f>
        <v>489.06677913463415</v>
      </c>
      <c r="AS319" s="2">
        <v>49.579816489424402</v>
      </c>
      <c r="AX319" s="4"/>
    </row>
    <row r="320" spans="1:50" x14ac:dyDescent="0.25">
      <c r="A320" t="s">
        <v>65</v>
      </c>
      <c r="B320">
        <v>206</v>
      </c>
      <c r="C320">
        <v>17</v>
      </c>
      <c r="D320">
        <v>65</v>
      </c>
      <c r="E320" s="204"/>
      <c r="F320">
        <v>0</v>
      </c>
      <c r="G320">
        <v>75</v>
      </c>
      <c r="H320">
        <v>141</v>
      </c>
      <c r="I320" s="205"/>
      <c r="J320">
        <v>248</v>
      </c>
      <c r="K320">
        <v>2</v>
      </c>
      <c r="L320">
        <v>40</v>
      </c>
      <c r="M320" s="206"/>
      <c r="N320">
        <v>2</v>
      </c>
      <c r="O320">
        <v>0</v>
      </c>
      <c r="P320">
        <v>209</v>
      </c>
      <c r="Q320" s="207"/>
      <c r="R320">
        <v>255</v>
      </c>
      <c r="S320">
        <v>255</v>
      </c>
      <c r="T320">
        <v>255</v>
      </c>
      <c r="U320" s="3"/>
      <c r="Y320" s="4"/>
      <c r="Z320">
        <f t="shared" si="42"/>
        <v>255</v>
      </c>
      <c r="AA320">
        <f t="shared" si="43"/>
        <v>0</v>
      </c>
      <c r="AB320">
        <f t="shared" si="44"/>
        <v>127.5</v>
      </c>
      <c r="AC320" s="31"/>
      <c r="AD320">
        <f t="shared" si="45"/>
        <v>0</v>
      </c>
      <c r="AE320">
        <f t="shared" si="46"/>
        <v>127.5</v>
      </c>
      <c r="AF320">
        <f t="shared" si="47"/>
        <v>127.5</v>
      </c>
      <c r="AG320" s="24"/>
      <c r="AH320">
        <f t="shared" si="48"/>
        <v>255</v>
      </c>
      <c r="AI320">
        <f t="shared" si="49"/>
        <v>0</v>
      </c>
      <c r="AJ320">
        <f t="shared" si="50"/>
        <v>0</v>
      </c>
      <c r="AK320" s="5"/>
      <c r="AL320">
        <f>SQRT((2+(($AL$3+Table4[[#This Row],[Red]])/2)/256)*($AL$3-Table4[[#This Row],[Red]])^2 + 4*($AM$3-Table4[[#This Row],[Green]])^2 + (2+(255-(($AL$3+Table4[[#This Row],[Red]])/2))/256 )*($AN$3-Table4[[#This Row],[Blue]])^2)</f>
        <v>396.47721699203601</v>
      </c>
      <c r="AM320">
        <f>SQRT((2+(($AO$3+Table4[[#This Row],[Red2]])/2)/256)*($AO$3-Table4[[#This Row],[Red2]])^2 + 4*($AP$3-Table4[[#This Row],[Green2]])^2 + (2+(255-(($AO$3+Table4[[#This Row],[Red2]])/2))/256 )*($AQ$3-Table4[[#This Row],[Blue2]])^2)</f>
        <v>286.470486863394</v>
      </c>
      <c r="AN320">
        <f>SQRT(Table4[[#This Row],[diffPrimary]]^2+Table4[[#This Row],[diffSecondary]]^2)</f>
        <v>489.14161899954905</v>
      </c>
      <c r="AO320" s="2">
        <f>SQRT((2+(($AL$3+Table4[[#This Row],[Red2]])/2)/256)*($AL$3-Table4[[#This Row],[Red2]])^2 + 4*($AM$3-Table4[[#This Row],[Green2]])^2 + (2+(255-(($AL$3+Table4[[#This Row],[Red2]])/2))/256 )*($AN$3-Table4[[#This Row],[Blue2]])^2)</f>
        <v>528.86592626936181</v>
      </c>
      <c r="AP320" s="2">
        <f>SQRT((2+(($AO$3+Table4[[#This Row],[Red]])/2)/256)*($AO$3-Table4[[#This Row],[Red]])^2 + 4*($AP$3-Table4[[#This Row],[Green]])^2 + (2+(255-(($AO$3+Table4[[#This Row],[Red]])/2))/256 )*($AQ$3-Table4[[#This Row],[Blue]])^2)</f>
        <v>337.72837180935807</v>
      </c>
      <c r="AQ320" s="2">
        <f>SQRT(Table4[[#This Row],[diffPrimary2]]^2+Table4[[#This Row],[diffSecondary2]]^2)</f>
        <v>627.50268612472894</v>
      </c>
      <c r="AR320" s="786">
        <f>MIN(Table4[[#This Row],[MinOrig]],Table4[[#This Row],[MinSwap]])</f>
        <v>489.14161899954905</v>
      </c>
      <c r="AS320" s="2">
        <v>50.210572218408302</v>
      </c>
      <c r="AX320" s="4"/>
    </row>
    <row r="321" spans="1:50" x14ac:dyDescent="0.25">
      <c r="A321" t="s">
        <v>43</v>
      </c>
      <c r="B321">
        <v>0</v>
      </c>
      <c r="C321">
        <v>83</v>
      </c>
      <c r="D321">
        <v>155</v>
      </c>
      <c r="E321" s="152"/>
      <c r="F321">
        <v>255</v>
      </c>
      <c r="G321">
        <v>255</v>
      </c>
      <c r="H321">
        <v>255</v>
      </c>
      <c r="I321" s="3"/>
      <c r="J321">
        <v>207</v>
      </c>
      <c r="K321">
        <v>212</v>
      </c>
      <c r="L321">
        <v>216</v>
      </c>
      <c r="M321" s="153"/>
      <c r="Q321" s="4"/>
      <c r="U321" s="4"/>
      <c r="Y321" s="4"/>
      <c r="Z321">
        <f t="shared" si="42"/>
        <v>0</v>
      </c>
      <c r="AA321">
        <f t="shared" si="43"/>
        <v>127.5</v>
      </c>
      <c r="AB321">
        <f t="shared" si="44"/>
        <v>127.5</v>
      </c>
      <c r="AC321" s="24"/>
      <c r="AD321">
        <f t="shared" si="45"/>
        <v>255</v>
      </c>
      <c r="AE321">
        <f t="shared" si="46"/>
        <v>255</v>
      </c>
      <c r="AF321">
        <f t="shared" si="47"/>
        <v>255</v>
      </c>
      <c r="AG321" s="3"/>
      <c r="AH321">
        <f t="shared" si="48"/>
        <v>255</v>
      </c>
      <c r="AI321">
        <f t="shared" si="49"/>
        <v>255</v>
      </c>
      <c r="AJ321">
        <f t="shared" si="50"/>
        <v>255</v>
      </c>
      <c r="AK321" s="3"/>
      <c r="AL321">
        <f>SQRT((2+(($AL$3+Table4[[#This Row],[Red]])/2)/256)*($AL$3-Table4[[#This Row],[Red]])^2 + 4*($AM$3-Table4[[#This Row],[Green]])^2 + (2+(255-(($AL$3+Table4[[#This Row],[Red]])/2))/256 )*($AN$3-Table4[[#This Row],[Blue]])^2)</f>
        <v>531.02455142747397</v>
      </c>
      <c r="AM321">
        <f>SQRT((2+(($AO$3+Table4[[#This Row],[Red2]])/2)/256)*($AO$3-Table4[[#This Row],[Red2]])^2 + 4*($AP$3-Table4[[#This Row],[Green2]])^2 + (2+(255-(($AO$3+Table4[[#This Row],[Red2]])/2))/256 )*($AQ$3-Table4[[#This Row],[Blue2]])^2)</f>
        <v>764.83396635724148</v>
      </c>
      <c r="AN321">
        <f>SQRT(Table4[[#This Row],[diffPrimary]]^2+Table4[[#This Row],[diffSecondary]]^2)</f>
        <v>931.10583196138339</v>
      </c>
      <c r="AO321" s="2">
        <f>SQRT((2+(($AL$3+Table4[[#This Row],[Red2]])/2)/256)*($AL$3-Table4[[#This Row],[Red2]])^2 + 4*($AM$3-Table4[[#This Row],[Green2]])^2 + (2+(255-(($AL$3+Table4[[#This Row],[Red2]])/2))/256 )*($AN$3-Table4[[#This Row],[Blue2]])^2)</f>
        <v>374.23254802328461</v>
      </c>
      <c r="AP321" s="2">
        <f>SQRT((2+(($AO$3+Table4[[#This Row],[Red]])/2)/256)*($AO$3-Table4[[#This Row],[Red]])^2 + 4*($AP$3-Table4[[#This Row],[Green]])^2 + (2+(255-(($AO$3+Table4[[#This Row],[Red]])/2))/256 )*($AQ$3-Table4[[#This Row],[Blue]])^2)</f>
        <v>315.49509083938216</v>
      </c>
      <c r="AQ321" s="2">
        <f>SQRT(Table4[[#This Row],[diffPrimary2]]^2+Table4[[#This Row],[diffSecondary2]]^2)</f>
        <v>489.4764063198042</v>
      </c>
      <c r="AR321" s="786">
        <f>MIN(Table4[[#This Row],[MinOrig]],Table4[[#This Row],[MinSwap]])</f>
        <v>489.4764063198042</v>
      </c>
      <c r="AS321" s="2">
        <v>6.92369121206311</v>
      </c>
      <c r="AX321" s="4"/>
    </row>
    <row r="322" spans="1:50" x14ac:dyDescent="0.25">
      <c r="A322" t="s">
        <v>410</v>
      </c>
      <c r="B322">
        <v>95</v>
      </c>
      <c r="C322">
        <v>37</v>
      </c>
      <c r="D322">
        <v>159</v>
      </c>
      <c r="E322" s="270"/>
      <c r="F322">
        <v>0</v>
      </c>
      <c r="G322">
        <v>0</v>
      </c>
      <c r="H322">
        <v>0</v>
      </c>
      <c r="I322" s="4"/>
      <c r="M322" s="4"/>
      <c r="Q322" s="4"/>
      <c r="U322" s="4"/>
      <c r="Y322" s="4"/>
      <c r="Z322">
        <f t="shared" si="42"/>
        <v>127.5</v>
      </c>
      <c r="AA322">
        <f t="shared" si="43"/>
        <v>0</v>
      </c>
      <c r="AB322">
        <f t="shared" si="44"/>
        <v>127.5</v>
      </c>
      <c r="AC322" s="30"/>
      <c r="AD322">
        <f t="shared" si="45"/>
        <v>0</v>
      </c>
      <c r="AE322">
        <f t="shared" si="46"/>
        <v>0</v>
      </c>
      <c r="AF322">
        <f t="shared" si="47"/>
        <v>0</v>
      </c>
      <c r="AG322" s="4"/>
      <c r="AK322" s="4"/>
      <c r="AL322">
        <f>SQRT((2+(($AL$3+Table4[[#This Row],[Red]])/2)/256)*($AL$3-Table4[[#This Row],[Red]])^2 + 4*($AM$3-Table4[[#This Row],[Green]])^2 + (2+(255-(($AL$3+Table4[[#This Row],[Red]])/2))/256 )*($AN$3-Table4[[#This Row],[Blue]])^2)</f>
        <v>489.95745988810091</v>
      </c>
      <c r="AM322">
        <f>SQRT((2+(($AO$3+Table4[[#This Row],[Red2]])/2)/256)*($AO$3-Table4[[#This Row],[Red2]])^2 + 4*($AP$3-Table4[[#This Row],[Green2]])^2 + (2+(255-(($AO$3+Table4[[#This Row],[Red2]])/2))/256 )*($AQ$3-Table4[[#This Row],[Blue2]])^2)</f>
        <v>0</v>
      </c>
      <c r="AN322">
        <f>SQRT(Table4[[#This Row],[diffPrimary]]^2+Table4[[#This Row],[diffSecondary]]^2)</f>
        <v>489.95745988810091</v>
      </c>
      <c r="AO322" s="2">
        <f>SQRT((2+(($AL$3+Table4[[#This Row],[Red2]])/2)/256)*($AL$3-Table4[[#This Row],[Red2]])^2 + 4*($AM$3-Table4[[#This Row],[Green2]])^2 + (2+(255-(($AL$3+Table4[[#This Row],[Red2]])/2))/256 )*($AN$3-Table4[[#This Row],[Blue2]])^2)</f>
        <v>574.92216694686158</v>
      </c>
      <c r="AP322" s="2">
        <f>SQRT((2+(($AO$3+Table4[[#This Row],[Red]])/2)/256)*($AO$3-Table4[[#This Row],[Red]])^2 + 4*($AP$3-Table4[[#This Row],[Green]])^2 + (2+(255-(($AO$3+Table4[[#This Row],[Red]])/2))/256 )*($AQ$3-Table4[[#This Row],[Blue]])^2)</f>
        <v>310.24828137114633</v>
      </c>
      <c r="AQ322" s="2">
        <f>SQRT(Table4[[#This Row],[diffPrimary2]]^2+Table4[[#This Row],[diffSecondary2]]^2)</f>
        <v>653.29127817584174</v>
      </c>
      <c r="AR322" s="786">
        <f>MIN(Table4[[#This Row],[MinOrig]],Table4[[#This Row],[MinSwap]])</f>
        <v>489.95745988810091</v>
      </c>
      <c r="AS322" s="2">
        <v>145.067151745752</v>
      </c>
      <c r="AX322" s="4"/>
    </row>
    <row r="323" spans="1:50" x14ac:dyDescent="0.25">
      <c r="A323" t="s">
        <v>31</v>
      </c>
      <c r="B323">
        <v>180</v>
      </c>
      <c r="C323">
        <v>151</v>
      </c>
      <c r="D323">
        <v>91</v>
      </c>
      <c r="E323" s="122"/>
      <c r="F323">
        <v>201</v>
      </c>
      <c r="G323">
        <v>187</v>
      </c>
      <c r="H323">
        <v>140</v>
      </c>
      <c r="I323" s="123"/>
      <c r="J323">
        <v>129</v>
      </c>
      <c r="K323">
        <v>130</v>
      </c>
      <c r="L323">
        <v>134</v>
      </c>
      <c r="M323" s="124"/>
      <c r="N323">
        <v>0</v>
      </c>
      <c r="O323">
        <v>0</v>
      </c>
      <c r="P323">
        <v>0</v>
      </c>
      <c r="Q323" s="4"/>
      <c r="U323" s="4"/>
      <c r="Y323" s="4"/>
      <c r="Z323">
        <f t="shared" si="42"/>
        <v>127.5</v>
      </c>
      <c r="AA323">
        <f t="shared" si="43"/>
        <v>127.5</v>
      </c>
      <c r="AB323">
        <f t="shared" si="44"/>
        <v>127.5</v>
      </c>
      <c r="AC323" s="32"/>
      <c r="AD323">
        <f t="shared" si="45"/>
        <v>255</v>
      </c>
      <c r="AE323">
        <f t="shared" si="46"/>
        <v>127.5</v>
      </c>
      <c r="AF323">
        <f t="shared" si="47"/>
        <v>127.5</v>
      </c>
      <c r="AG323" s="25"/>
      <c r="AH323">
        <f t="shared" ref="AH323:AH358" si="51">ROUND(J323/255*$AA$2,0)*$AC$2/$AA$2</f>
        <v>127.5</v>
      </c>
      <c r="AI323">
        <f t="shared" ref="AI323:AI358" si="52">ROUND(K323/255*$AA$2,0)*$AC$2/$AA$2</f>
        <v>127.5</v>
      </c>
      <c r="AJ323">
        <f t="shared" ref="AJ323:AJ358" si="53">ROUND(L323/255*$AA$2,0)*$AC$2/$AA$2</f>
        <v>127.5</v>
      </c>
      <c r="AK323" s="32"/>
      <c r="AL323">
        <f>SQRT((2+(($AL$3+Table4[[#This Row],[Red]])/2)/256)*($AL$3-Table4[[#This Row],[Red]])^2 + 4*($AM$3-Table4[[#This Row],[Green]])^2 + (2+(255-(($AL$3+Table4[[#This Row],[Red]])/2))/256 )*($AN$3-Table4[[#This Row],[Blue]])^2)</f>
        <v>213.23247839799171</v>
      </c>
      <c r="AM323">
        <f>SQRT((2+(($AO$3+Table4[[#This Row],[Red2]])/2)/256)*($AO$3-Table4[[#This Row],[Red2]])^2 + 4*($AP$3-Table4[[#This Row],[Green2]])^2 + (2+(255-(($AO$3+Table4[[#This Row],[Red2]])/2))/256 )*($AQ$3-Table4[[#This Row],[Blue2]])^2)</f>
        <v>536.25316323367736</v>
      </c>
      <c r="AN323">
        <f>SQRT(Table4[[#This Row],[diffPrimary]]^2+Table4[[#This Row],[diffSecondary]]^2)</f>
        <v>577.09231923659752</v>
      </c>
      <c r="AO323" s="2">
        <f>SQRT((2+(($AL$3+Table4[[#This Row],[Red2]])/2)/256)*($AL$3-Table4[[#This Row],[Red2]])^2 + 4*($AM$3-Table4[[#This Row],[Green2]])^2 + (2+(255-(($AL$3+Table4[[#This Row],[Red2]])/2))/256 )*($AN$3-Table4[[#This Row],[Blue2]])^2)</f>
        <v>225.81463637240168</v>
      </c>
      <c r="AP323" s="2">
        <f>SQRT((2+(($AO$3+Table4[[#This Row],[Red]])/2)/256)*($AO$3-Table4[[#This Row],[Red]])^2 + 4*($AP$3-Table4[[#This Row],[Green]])^2 + (2+(255-(($AO$3+Table4[[#This Row],[Red]])/2))/256 )*($AQ$3-Table4[[#This Row],[Blue]])^2)</f>
        <v>435.07928964873747</v>
      </c>
      <c r="AQ323" s="2">
        <f>SQRT(Table4[[#This Row],[diffPrimary2]]^2+Table4[[#This Row],[diffSecondary2]]^2)</f>
        <v>490.19000222490257</v>
      </c>
      <c r="AR323" s="786">
        <f>MIN(Table4[[#This Row],[MinOrig]],Table4[[#This Row],[MinSwap]])</f>
        <v>490.19000222490257</v>
      </c>
      <c r="AS323" s="2">
        <v>87.502433001888605</v>
      </c>
      <c r="AX323" s="4"/>
    </row>
    <row r="324" spans="1:50" x14ac:dyDescent="0.25">
      <c r="A324" t="s">
        <v>282</v>
      </c>
      <c r="B324">
        <v>0</v>
      </c>
      <c r="C324">
        <v>83</v>
      </c>
      <c r="D324">
        <v>159</v>
      </c>
      <c r="E324" s="208"/>
      <c r="F324">
        <v>255</v>
      </c>
      <c r="G324">
        <v>255</v>
      </c>
      <c r="H324">
        <v>255</v>
      </c>
      <c r="I324" s="3"/>
      <c r="M324" s="4"/>
      <c r="Q324" s="4"/>
      <c r="U324" s="4"/>
      <c r="Y324" s="4"/>
      <c r="Z324">
        <f t="shared" si="42"/>
        <v>0</v>
      </c>
      <c r="AA324">
        <f t="shared" si="43"/>
        <v>127.5</v>
      </c>
      <c r="AB324">
        <f t="shared" si="44"/>
        <v>127.5</v>
      </c>
      <c r="AC324" s="24"/>
      <c r="AD324">
        <f t="shared" si="45"/>
        <v>255</v>
      </c>
      <c r="AE324">
        <f t="shared" si="46"/>
        <v>255</v>
      </c>
      <c r="AF324">
        <f t="shared" si="47"/>
        <v>255</v>
      </c>
      <c r="AG324" s="3"/>
      <c r="AH324">
        <f t="shared" si="51"/>
        <v>0</v>
      </c>
      <c r="AI324">
        <f t="shared" si="52"/>
        <v>0</v>
      </c>
      <c r="AJ324">
        <f t="shared" si="53"/>
        <v>0</v>
      </c>
      <c r="AK324" s="4"/>
      <c r="AL324">
        <f>SQRT((2+(($AL$3+Table4[[#This Row],[Red]])/2)/256)*($AL$3-Table4[[#This Row],[Red]])^2 + 4*($AM$3-Table4[[#This Row],[Green]])^2 + (2+(255-(($AL$3+Table4[[#This Row],[Red]])/2))/256 )*($AN$3-Table4[[#This Row],[Blue]])^2)</f>
        <v>533.97061819331407</v>
      </c>
      <c r="AM324">
        <f>SQRT((2+(($AO$3+Table4[[#This Row],[Red2]])/2)/256)*($AO$3-Table4[[#This Row],[Red2]])^2 + 4*($AP$3-Table4[[#This Row],[Green2]])^2 + (2+(255-(($AO$3+Table4[[#This Row],[Red2]])/2))/256 )*($AQ$3-Table4[[#This Row],[Blue2]])^2)</f>
        <v>764.83396635724148</v>
      </c>
      <c r="AN324">
        <f>SQRT(Table4[[#This Row],[diffPrimary]]^2+Table4[[#This Row],[diffSecondary]]^2)</f>
        <v>932.78916009326565</v>
      </c>
      <c r="AO324" s="2">
        <f>SQRT((2+(($AL$3+Table4[[#This Row],[Red2]])/2)/256)*($AL$3-Table4[[#This Row],[Red2]])^2 + 4*($AM$3-Table4[[#This Row],[Green2]])^2 + (2+(255-(($AL$3+Table4[[#This Row],[Red2]])/2))/256 )*($AN$3-Table4[[#This Row],[Blue2]])^2)</f>
        <v>374.23254802328461</v>
      </c>
      <c r="AP324" s="2">
        <f>SQRT((2+(($AO$3+Table4[[#This Row],[Red]])/2)/256)*($AO$3-Table4[[#This Row],[Red]])^2 + 4*($AP$3-Table4[[#This Row],[Green]])^2 + (2+(255-(($AO$3+Table4[[#This Row],[Red]])/2))/256 )*($AQ$3-Table4[[#This Row],[Blue]])^2)</f>
        <v>321.40355644228646</v>
      </c>
      <c r="AQ324" s="2">
        <f>SQRT(Table4[[#This Row],[diffPrimary2]]^2+Table4[[#This Row],[diffSecondary2]]^2)</f>
        <v>493.30542881033659</v>
      </c>
      <c r="AR324" s="786">
        <f>MIN(Table4[[#This Row],[MinOrig]],Table4[[#This Row],[MinSwap]])</f>
        <v>493.30542881033659</v>
      </c>
      <c r="AS324" s="2">
        <v>6.92369121206311</v>
      </c>
      <c r="AX324" s="4"/>
    </row>
    <row r="325" spans="1:50" x14ac:dyDescent="0.25">
      <c r="A325" t="s">
        <v>94</v>
      </c>
      <c r="B325">
        <v>191</v>
      </c>
      <c r="C325">
        <v>47</v>
      </c>
      <c r="D325">
        <v>56</v>
      </c>
      <c r="E325" s="254"/>
      <c r="F325">
        <v>255</v>
      </c>
      <c r="G325">
        <v>255</v>
      </c>
      <c r="H325">
        <v>255</v>
      </c>
      <c r="I325" s="3"/>
      <c r="J325">
        <v>0</v>
      </c>
      <c r="K325">
        <v>0</v>
      </c>
      <c r="L325">
        <v>0</v>
      </c>
      <c r="M325" s="4"/>
      <c r="Q325" s="4"/>
      <c r="U325" s="4"/>
      <c r="Y325" s="4"/>
      <c r="Z325">
        <f t="shared" ref="Z325:Z358" si="54">ROUND(B325/255*$AA$2,0)*$AC$2/$AA$2</f>
        <v>127.5</v>
      </c>
      <c r="AA325">
        <f t="shared" ref="AA325:AA358" si="55">ROUND(C325/255*$AA$2,0)*$AC$2/$AA$2</f>
        <v>0</v>
      </c>
      <c r="AB325">
        <f t="shared" ref="AB325:AB358" si="56">ROUND(D325/255*$AA$2,0)*$AC$2/$AA$2</f>
        <v>0</v>
      </c>
      <c r="AC325" s="27"/>
      <c r="AD325">
        <f t="shared" ref="AD325:AD358" si="57">ROUND(F325/255*$AA$2,0)*$AC$2/$AA$2</f>
        <v>255</v>
      </c>
      <c r="AE325">
        <f t="shared" ref="AE325:AE358" si="58">ROUND(G325/255*$AA$2,0)*$AC$2/$AA$2</f>
        <v>255</v>
      </c>
      <c r="AF325">
        <f t="shared" ref="AF325:AF358" si="59">ROUND(H325/255*$AA$2,0)*$AC$2/$AA$2</f>
        <v>255</v>
      </c>
      <c r="AG325" s="3"/>
      <c r="AH325">
        <f t="shared" si="51"/>
        <v>0</v>
      </c>
      <c r="AI325">
        <f t="shared" si="52"/>
        <v>0</v>
      </c>
      <c r="AJ325">
        <f t="shared" si="53"/>
        <v>0</v>
      </c>
      <c r="AK325" s="4"/>
      <c r="AL325">
        <f>SQRT((2+(($AL$3+Table4[[#This Row],[Red]])/2)/256)*($AL$3-Table4[[#This Row],[Red]])^2 + 4*($AM$3-Table4[[#This Row],[Green]])^2 + (2+(255-(($AL$3+Table4[[#This Row],[Red]])/2))/256 )*($AN$3-Table4[[#This Row],[Blue]])^2)</f>
        <v>343.91859501922835</v>
      </c>
      <c r="AM325">
        <f>SQRT((2+(($AO$3+Table4[[#This Row],[Red2]])/2)/256)*($AO$3-Table4[[#This Row],[Red2]])^2 + 4*($AP$3-Table4[[#This Row],[Green2]])^2 + (2+(255-(($AO$3+Table4[[#This Row],[Red2]])/2))/256 )*($AQ$3-Table4[[#This Row],[Blue2]])^2)</f>
        <v>764.83396635724148</v>
      </c>
      <c r="AN325">
        <f>SQRT(Table4[[#This Row],[diffPrimary]]^2+Table4[[#This Row],[diffSecondary]]^2)</f>
        <v>838.60061775182942</v>
      </c>
      <c r="AO325" s="2">
        <f>SQRT((2+(($AL$3+Table4[[#This Row],[Red2]])/2)/256)*($AL$3-Table4[[#This Row],[Red2]])^2 + 4*($AM$3-Table4[[#This Row],[Green2]])^2 + (2+(255-(($AL$3+Table4[[#This Row],[Red2]])/2))/256 )*($AN$3-Table4[[#This Row],[Blue2]])^2)</f>
        <v>374.23254802328461</v>
      </c>
      <c r="AP325" s="2">
        <f>SQRT((2+(($AO$3+Table4[[#This Row],[Red]])/2)/256)*($AO$3-Table4[[#This Row],[Red]])^2 + 4*($AP$3-Table4[[#This Row],[Green]])^2 + (2+(255-(($AO$3+Table4[[#This Row],[Red]])/2))/256 )*($AQ$3-Table4[[#This Row],[Blue]])^2)</f>
        <v>321.92079467918035</v>
      </c>
      <c r="AQ325" s="2">
        <f>SQRT(Table4[[#This Row],[diffPrimary2]]^2+Table4[[#This Row],[diffSecondary2]]^2)</f>
        <v>493.64258127401752</v>
      </c>
      <c r="AR325" s="786">
        <f>MIN(Table4[[#This Row],[MinOrig]],Table4[[#This Row],[MinSwap]])</f>
        <v>493.64258127401752</v>
      </c>
      <c r="AS325" s="2">
        <v>35.126306692776602</v>
      </c>
      <c r="AX325" s="4"/>
    </row>
    <row r="326" spans="1:50" x14ac:dyDescent="0.25">
      <c r="A326" t="s">
        <v>18</v>
      </c>
      <c r="B326">
        <v>196</v>
      </c>
      <c r="C326">
        <v>30</v>
      </c>
      <c r="D326">
        <v>58</v>
      </c>
      <c r="E326" s="92"/>
      <c r="F326">
        <v>255</v>
      </c>
      <c r="G326">
        <v>255</v>
      </c>
      <c r="H326">
        <v>255</v>
      </c>
      <c r="I326" s="3"/>
      <c r="J326">
        <v>173</v>
      </c>
      <c r="K326">
        <v>175</v>
      </c>
      <c r="L326">
        <v>170</v>
      </c>
      <c r="M326" s="93"/>
      <c r="N326">
        <v>0</v>
      </c>
      <c r="O326">
        <v>0</v>
      </c>
      <c r="P326">
        <v>0</v>
      </c>
      <c r="Q326" s="4"/>
      <c r="U326" s="4"/>
      <c r="Y326" s="4"/>
      <c r="Z326">
        <f t="shared" si="54"/>
        <v>255</v>
      </c>
      <c r="AA326">
        <f t="shared" si="55"/>
        <v>0</v>
      </c>
      <c r="AB326">
        <f t="shared" si="56"/>
        <v>0</v>
      </c>
      <c r="AC326" s="5"/>
      <c r="AD326">
        <f t="shared" si="57"/>
        <v>255</v>
      </c>
      <c r="AE326">
        <f t="shared" si="58"/>
        <v>255</v>
      </c>
      <c r="AF326">
        <f t="shared" si="59"/>
        <v>255</v>
      </c>
      <c r="AG326" s="3"/>
      <c r="AH326">
        <f t="shared" si="51"/>
        <v>127.5</v>
      </c>
      <c r="AI326">
        <f t="shared" si="52"/>
        <v>127.5</v>
      </c>
      <c r="AJ326">
        <f t="shared" si="53"/>
        <v>127.5</v>
      </c>
      <c r="AK326" s="32"/>
      <c r="AL326">
        <f>SQRT((2+(($AL$3+Table4[[#This Row],[Red]])/2)/256)*($AL$3-Table4[[#This Row],[Red]])^2 + 4*($AM$3-Table4[[#This Row],[Green]])^2 + (2+(255-(($AL$3+Table4[[#This Row],[Red]])/2))/256 )*($AN$3-Table4[[#This Row],[Blue]])^2)</f>
        <v>373.68960371125524</v>
      </c>
      <c r="AM326">
        <f>SQRT((2+(($AO$3+Table4[[#This Row],[Red2]])/2)/256)*($AO$3-Table4[[#This Row],[Red2]])^2 + 4*($AP$3-Table4[[#This Row],[Green2]])^2 + (2+(255-(($AO$3+Table4[[#This Row],[Red2]])/2))/256 )*($AQ$3-Table4[[#This Row],[Blue2]])^2)</f>
        <v>764.83396635724148</v>
      </c>
      <c r="AN326">
        <f>SQRT(Table4[[#This Row],[diffPrimary]]^2+Table4[[#This Row],[diffSecondary]]^2)</f>
        <v>851.24315915937029</v>
      </c>
      <c r="AO326" s="2">
        <f>SQRT((2+(($AL$3+Table4[[#This Row],[Red2]])/2)/256)*($AL$3-Table4[[#This Row],[Red2]])^2 + 4*($AM$3-Table4[[#This Row],[Green2]])^2 + (2+(255-(($AL$3+Table4[[#This Row],[Red2]])/2))/256 )*($AN$3-Table4[[#This Row],[Blue2]])^2)</f>
        <v>374.23254802328461</v>
      </c>
      <c r="AP326" s="2">
        <f>SQRT((2+(($AO$3+Table4[[#This Row],[Red]])/2)/256)*($AO$3-Table4[[#This Row],[Red]])^2 + 4*($AP$3-Table4[[#This Row],[Green]])^2 + (2+(255-(($AO$3+Table4[[#This Row],[Red]])/2))/256 )*($AQ$3-Table4[[#This Row],[Blue]])^2)</f>
        <v>322.38052535008995</v>
      </c>
      <c r="AQ326" s="2">
        <f>SQRT(Table4[[#This Row],[diffPrimary2]]^2+Table4[[#This Row],[diffSecondary2]]^2)</f>
        <v>493.94250993916285</v>
      </c>
      <c r="AR326" s="786">
        <f>MIN(Table4[[#This Row],[MinOrig]],Table4[[#This Row],[MinSwap]])</f>
        <v>493.94250993916285</v>
      </c>
      <c r="AS326" s="2">
        <v>30.861776014189498</v>
      </c>
      <c r="AX326" s="4"/>
    </row>
    <row r="327" spans="1:50" x14ac:dyDescent="0.25">
      <c r="A327" t="s">
        <v>239</v>
      </c>
      <c r="B327">
        <v>204</v>
      </c>
      <c r="C327">
        <v>0</v>
      </c>
      <c r="D327">
        <v>51</v>
      </c>
      <c r="E327" s="81"/>
      <c r="F327">
        <v>95</v>
      </c>
      <c r="G327">
        <v>106</v>
      </c>
      <c r="H327">
        <v>114</v>
      </c>
      <c r="I327" s="463"/>
      <c r="J327">
        <v>0</v>
      </c>
      <c r="K327">
        <v>0</v>
      </c>
      <c r="L327">
        <v>0</v>
      </c>
      <c r="M327" s="4"/>
      <c r="Q327" s="4"/>
      <c r="U327" s="4"/>
      <c r="Y327" s="4"/>
      <c r="Z327">
        <f t="shared" si="54"/>
        <v>255</v>
      </c>
      <c r="AA327">
        <f t="shared" si="55"/>
        <v>0</v>
      </c>
      <c r="AB327">
        <f t="shared" si="56"/>
        <v>0</v>
      </c>
      <c r="AC327" s="5"/>
      <c r="AD327">
        <f t="shared" si="57"/>
        <v>127.5</v>
      </c>
      <c r="AE327">
        <f t="shared" si="58"/>
        <v>127.5</v>
      </c>
      <c r="AF327">
        <f t="shared" si="59"/>
        <v>127.5</v>
      </c>
      <c r="AG327" s="32"/>
      <c r="AH327">
        <f t="shared" si="51"/>
        <v>0</v>
      </c>
      <c r="AI327">
        <f t="shared" si="52"/>
        <v>0</v>
      </c>
      <c r="AJ327">
        <f t="shared" si="53"/>
        <v>0</v>
      </c>
      <c r="AK327" s="4"/>
      <c r="AL327">
        <f>SQRT((2+(($AL$3+Table4[[#This Row],[Red]])/2)/256)*($AL$3-Table4[[#This Row],[Red]])^2 + 4*($AM$3-Table4[[#This Row],[Green]])^2 + (2+(255-(($AL$3+Table4[[#This Row],[Red]])/2))/256 )*($AN$3-Table4[[#This Row],[Blue]])^2)</f>
        <v>425.55239377043807</v>
      </c>
      <c r="AM327">
        <f>SQRT((2+(($AO$3+Table4[[#This Row],[Red2]])/2)/256)*($AO$3-Table4[[#This Row],[Red2]])^2 + 4*($AP$3-Table4[[#This Row],[Green2]])^2 + (2+(255-(($AO$3+Table4[[#This Row],[Red2]])/2))/256 )*($AQ$3-Table4[[#This Row],[Blue2]])^2)</f>
        <v>318.11071615771607</v>
      </c>
      <c r="AN327">
        <f>SQRT(Table4[[#This Row],[diffPrimary]]^2+Table4[[#This Row],[diffSecondary]]^2)</f>
        <v>531.30901326640878</v>
      </c>
      <c r="AO327" s="2">
        <f>SQRT((2+(($AL$3+Table4[[#This Row],[Red2]])/2)/256)*($AL$3-Table4[[#This Row],[Red2]])^2 + 4*($AM$3-Table4[[#This Row],[Green2]])^2 + (2+(255-(($AL$3+Table4[[#This Row],[Red2]])/2))/256 )*($AN$3-Table4[[#This Row],[Blue2]])^2)</f>
        <v>371.42596839747216</v>
      </c>
      <c r="AP327" s="2">
        <f>SQRT((2+(($AO$3+Table4[[#This Row],[Red]])/2)/256)*($AO$3-Table4[[#This Row],[Red]])^2 + 4*($AP$3-Table4[[#This Row],[Green]])^2 + (2+(255-(($AO$3+Table4[[#This Row],[Red]])/2))/256 )*($AQ$3-Table4[[#This Row],[Blue]])^2)</f>
        <v>326.45042335131075</v>
      </c>
      <c r="AQ327" s="2">
        <f>SQRT(Table4[[#This Row],[diffPrimary2]]^2+Table4[[#This Row],[diffSecondary2]]^2)</f>
        <v>494.49684418229606</v>
      </c>
      <c r="AR327" s="786">
        <f>MIN(Table4[[#This Row],[MinOrig]],Table4[[#This Row],[MinSwap]])</f>
        <v>494.49684418229606</v>
      </c>
      <c r="AS327" s="2">
        <v>84.629281187866695</v>
      </c>
      <c r="AX327" s="4"/>
    </row>
    <row r="328" spans="1:50" x14ac:dyDescent="0.25">
      <c r="A328" t="s">
        <v>129</v>
      </c>
      <c r="B328">
        <v>203</v>
      </c>
      <c r="C328">
        <v>32</v>
      </c>
      <c r="D328">
        <v>39</v>
      </c>
      <c r="E328" s="306"/>
      <c r="F328">
        <v>255</v>
      </c>
      <c r="G328">
        <v>255</v>
      </c>
      <c r="H328">
        <v>255</v>
      </c>
      <c r="I328" s="3"/>
      <c r="J328">
        <v>0</v>
      </c>
      <c r="K328">
        <v>0</v>
      </c>
      <c r="L328">
        <v>0</v>
      </c>
      <c r="M328" s="4"/>
      <c r="Q328" s="4"/>
      <c r="U328" s="4"/>
      <c r="Y328" s="4"/>
      <c r="Z328">
        <f t="shared" si="54"/>
        <v>255</v>
      </c>
      <c r="AA328">
        <f t="shared" si="55"/>
        <v>0</v>
      </c>
      <c r="AB328">
        <f t="shared" si="56"/>
        <v>0</v>
      </c>
      <c r="AC328" s="5"/>
      <c r="AD328">
        <f t="shared" si="57"/>
        <v>255</v>
      </c>
      <c r="AE328">
        <f t="shared" si="58"/>
        <v>255</v>
      </c>
      <c r="AF328">
        <f t="shared" si="59"/>
        <v>255</v>
      </c>
      <c r="AG328" s="3"/>
      <c r="AH328">
        <f t="shared" si="51"/>
        <v>0</v>
      </c>
      <c r="AI328">
        <f t="shared" si="52"/>
        <v>0</v>
      </c>
      <c r="AJ328">
        <f t="shared" si="53"/>
        <v>0</v>
      </c>
      <c r="AK328" s="4"/>
      <c r="AL328">
        <f>SQRT((2+(($AL$3+Table4[[#This Row],[Red]])/2)/256)*($AL$3-Table4[[#This Row],[Red]])^2 + 4*($AM$3-Table4[[#This Row],[Green]])^2 + (2+(255-(($AL$3+Table4[[#This Row],[Red]])/2))/256 )*($AN$3-Table4[[#This Row],[Blue]])^2)</f>
        <v>361.57888359595893</v>
      </c>
      <c r="AM328">
        <f>SQRT((2+(($AO$3+Table4[[#This Row],[Red2]])/2)/256)*($AO$3-Table4[[#This Row],[Red2]])^2 + 4*($AP$3-Table4[[#This Row],[Green2]])^2 + (2+(255-(($AO$3+Table4[[#This Row],[Red2]])/2))/256 )*($AQ$3-Table4[[#This Row],[Blue2]])^2)</f>
        <v>764.83396635724148</v>
      </c>
      <c r="AN328">
        <f>SQRT(Table4[[#This Row],[diffPrimary]]^2+Table4[[#This Row],[diffSecondary]]^2)</f>
        <v>845.9966224260296</v>
      </c>
      <c r="AO328" s="2">
        <f>SQRT((2+(($AL$3+Table4[[#This Row],[Red2]])/2)/256)*($AL$3-Table4[[#This Row],[Red2]])^2 + 4*($AM$3-Table4[[#This Row],[Green2]])^2 + (2+(255-(($AL$3+Table4[[#This Row],[Red2]])/2))/256 )*($AN$3-Table4[[#This Row],[Blue2]])^2)</f>
        <v>374.23254802328461</v>
      </c>
      <c r="AP328" s="2">
        <f>SQRT((2+(($AO$3+Table4[[#This Row],[Red]])/2)/256)*($AO$3-Table4[[#This Row],[Red]])^2 + 4*($AP$3-Table4[[#This Row],[Green]])^2 + (2+(255-(($AO$3+Table4[[#This Row],[Red]])/2))/256 )*($AQ$3-Table4[[#This Row],[Blue]])^2)</f>
        <v>326.81299005509254</v>
      </c>
      <c r="AQ328" s="2">
        <f>SQRT(Table4[[#This Row],[diffPrimary2]]^2+Table4[[#This Row],[diffSecondary2]]^2)</f>
        <v>496.84678772107407</v>
      </c>
      <c r="AR328" s="786">
        <f>MIN(Table4[[#This Row],[MinOrig]],Table4[[#This Row],[MinSwap]])</f>
        <v>496.84678772107407</v>
      </c>
      <c r="AS328" s="2">
        <v>30.861776014189498</v>
      </c>
      <c r="AX328" s="4"/>
    </row>
    <row r="329" spans="1:50" x14ac:dyDescent="0.25">
      <c r="A329" t="s">
        <v>88</v>
      </c>
      <c r="B329">
        <v>0</v>
      </c>
      <c r="C329">
        <v>45</v>
      </c>
      <c r="D329">
        <v>114</v>
      </c>
      <c r="E329" s="218"/>
      <c r="F329">
        <v>0</v>
      </c>
      <c r="G329">
        <v>119</v>
      </c>
      <c r="H329">
        <v>73</v>
      </c>
      <c r="I329" s="243"/>
      <c r="J329">
        <v>185</v>
      </c>
      <c r="K329">
        <v>151</v>
      </c>
      <c r="L329">
        <v>91</v>
      </c>
      <c r="M329" s="162"/>
      <c r="Q329" s="4"/>
      <c r="U329" s="4"/>
      <c r="Y329" s="4"/>
      <c r="Z329">
        <f t="shared" si="54"/>
        <v>0</v>
      </c>
      <c r="AA329">
        <f t="shared" si="55"/>
        <v>0</v>
      </c>
      <c r="AB329">
        <f t="shared" si="56"/>
        <v>127.5</v>
      </c>
      <c r="AC329" s="26"/>
      <c r="AD329">
        <f t="shared" si="57"/>
        <v>0</v>
      </c>
      <c r="AE329">
        <f t="shared" si="58"/>
        <v>127.5</v>
      </c>
      <c r="AF329">
        <f t="shared" si="59"/>
        <v>127.5</v>
      </c>
      <c r="AG329" s="24"/>
      <c r="AH329">
        <f t="shared" si="51"/>
        <v>127.5</v>
      </c>
      <c r="AI329">
        <f t="shared" si="52"/>
        <v>127.5</v>
      </c>
      <c r="AJ329">
        <f t="shared" si="53"/>
        <v>127.5</v>
      </c>
      <c r="AK329" s="32"/>
      <c r="AL329">
        <f>SQRT((2+(($AL$3+Table4[[#This Row],[Red]])/2)/256)*($AL$3-Table4[[#This Row],[Red]])^2 + 4*($AM$3-Table4[[#This Row],[Green]])^2 + (2+(255-(($AL$3+Table4[[#This Row],[Red]])/2))/256 )*($AN$3-Table4[[#This Row],[Blue]])^2)</f>
        <v>545.2523408793171</v>
      </c>
      <c r="AM329">
        <f>SQRT((2+(($AO$3+Table4[[#This Row],[Red2]])/2)/256)*($AO$3-Table4[[#This Row],[Red2]])^2 + 4*($AP$3-Table4[[#This Row],[Green2]])^2 + (2+(255-(($AO$3+Table4[[#This Row],[Red2]])/2))/256 )*($AQ$3-Table4[[#This Row],[Blue2]])^2)</f>
        <v>269.46276847414373</v>
      </c>
      <c r="AN329">
        <f>SQRT(Table4[[#This Row],[diffPrimary]]^2+Table4[[#This Row],[diffSecondary]]^2)</f>
        <v>608.20251465126728</v>
      </c>
      <c r="AO329" s="2">
        <f>SQRT((2+(($AL$3+Table4[[#This Row],[Red2]])/2)/256)*($AL$3-Table4[[#This Row],[Red2]])^2 + 4*($AM$3-Table4[[#This Row],[Green2]])^2 + (2+(255-(($AL$3+Table4[[#This Row],[Red2]])/2))/256 )*($AN$3-Table4[[#This Row],[Blue2]])^2)</f>
        <v>453.13528867629589</v>
      </c>
      <c r="AP329" s="2">
        <f>SQRT((2+(($AO$3+Table4[[#This Row],[Red]])/2)/256)*($AO$3-Table4[[#This Row],[Red]])^2 + 4*($AP$3-Table4[[#This Row],[Green]])^2 + (2+(255-(($AO$3+Table4[[#This Row],[Red]])/2))/256 )*($AQ$3-Table4[[#This Row],[Blue]])^2)</f>
        <v>216.88069156796786</v>
      </c>
      <c r="AQ329" s="2">
        <f>SQRT(Table4[[#This Row],[diffPrimary2]]^2+Table4[[#This Row],[diffSecondary2]]^2)</f>
        <v>502.3632393186727</v>
      </c>
      <c r="AR329" s="786">
        <f>MIN(Table4[[#This Row],[MinOrig]],Table4[[#This Row],[MinSwap]])</f>
        <v>502.3632393186727</v>
      </c>
      <c r="AS329" s="2">
        <v>77.823819457798393</v>
      </c>
      <c r="AX329" s="4"/>
    </row>
    <row r="330" spans="1:50" x14ac:dyDescent="0.25">
      <c r="A330" t="s">
        <v>453</v>
      </c>
      <c r="B330">
        <v>0</v>
      </c>
      <c r="C330">
        <v>61</v>
      </c>
      <c r="D330">
        <v>165</v>
      </c>
      <c r="E330" s="512"/>
      <c r="F330">
        <v>200</v>
      </c>
      <c r="G330">
        <v>16</v>
      </c>
      <c r="H330">
        <v>46</v>
      </c>
      <c r="I330" s="97"/>
      <c r="J330">
        <v>255</v>
      </c>
      <c r="K330">
        <v>255</v>
      </c>
      <c r="L330">
        <v>255</v>
      </c>
      <c r="M330" s="3"/>
      <c r="Q330" s="4"/>
      <c r="U330" s="4"/>
      <c r="Y330" s="4"/>
      <c r="Z330">
        <f t="shared" si="54"/>
        <v>0</v>
      </c>
      <c r="AA330">
        <f t="shared" si="55"/>
        <v>0</v>
      </c>
      <c r="AB330">
        <f t="shared" si="56"/>
        <v>127.5</v>
      </c>
      <c r="AC330" s="26"/>
      <c r="AD330">
        <f t="shared" si="57"/>
        <v>255</v>
      </c>
      <c r="AE330">
        <f t="shared" si="58"/>
        <v>0</v>
      </c>
      <c r="AF330">
        <f t="shared" si="59"/>
        <v>0</v>
      </c>
      <c r="AG330" s="5"/>
      <c r="AH330">
        <f t="shared" si="51"/>
        <v>255</v>
      </c>
      <c r="AI330">
        <f t="shared" si="52"/>
        <v>255</v>
      </c>
      <c r="AJ330">
        <f t="shared" si="53"/>
        <v>255</v>
      </c>
      <c r="AK330" s="3"/>
      <c r="AL330">
        <f>SQRT((2+(($AL$3+Table4[[#This Row],[Red]])/2)/256)*($AL$3-Table4[[#This Row],[Red]])^2 + 4*($AM$3-Table4[[#This Row],[Green]])^2 + (2+(255-(($AL$3+Table4[[#This Row],[Red]])/2))/256 )*($AN$3-Table4[[#This Row],[Blue]])^2)</f>
        <v>559.8114184426305</v>
      </c>
      <c r="AM330">
        <f>SQRT((2+(($AO$3+Table4[[#This Row],[Red2]])/2)/256)*($AO$3-Table4[[#This Row],[Red2]])^2 + 4*($AP$3-Table4[[#This Row],[Green2]])^2 + (2+(255-(($AO$3+Table4[[#This Row],[Red2]])/2))/256 )*($AQ$3-Table4[[#This Row],[Blue2]])^2)</f>
        <v>319.62817753602388</v>
      </c>
      <c r="AN330">
        <f>SQRT(Table4[[#This Row],[diffPrimary]]^2+Table4[[#This Row],[diffSecondary]]^2)</f>
        <v>644.63245038839761</v>
      </c>
      <c r="AO330" s="2">
        <f>SQRT((2+(($AL$3+Table4[[#This Row],[Red2]])/2)/256)*($AL$3-Table4[[#This Row],[Red2]])^2 + 4*($AM$3-Table4[[#This Row],[Green2]])^2 + (2+(255-(($AL$3+Table4[[#This Row],[Red2]])/2))/256 )*($AN$3-Table4[[#This Row],[Blue2]])^2)</f>
        <v>395.07155947926066</v>
      </c>
      <c r="AP330" s="2">
        <f>SQRT((2+(($AO$3+Table4[[#This Row],[Red]])/2)/256)*($AO$3-Table4[[#This Row],[Red]])^2 + 4*($AP$3-Table4[[#This Row],[Green]])^2 + (2+(255-(($AO$3+Table4[[#This Row],[Red]])/2))/256 )*($AQ$3-Table4[[#This Row],[Blue]])^2)</f>
        <v>310.56827324076426</v>
      </c>
      <c r="AQ330" s="2">
        <f>SQRT(Table4[[#This Row],[diffPrimary2]]^2+Table4[[#This Row],[diffSecondary2]]^2)</f>
        <v>502.52779968189321</v>
      </c>
      <c r="AR330" s="786">
        <f>MIN(Table4[[#This Row],[MinOrig]],Table4[[#This Row],[MinSwap]])</f>
        <v>502.52779968189321</v>
      </c>
      <c r="AS330" s="2">
        <v>12.2874109864528</v>
      </c>
      <c r="AX330" s="4"/>
    </row>
    <row r="331" spans="1:50" x14ac:dyDescent="0.25">
      <c r="A331" t="s">
        <v>51</v>
      </c>
      <c r="B331">
        <v>57</v>
      </c>
      <c r="C331">
        <v>117</v>
      </c>
      <c r="D331">
        <v>183</v>
      </c>
      <c r="E331" s="168"/>
      <c r="F331">
        <v>31</v>
      </c>
      <c r="G331">
        <v>58</v>
      </c>
      <c r="H331">
        <v>96</v>
      </c>
      <c r="I331" s="169"/>
      <c r="J331">
        <v>255</v>
      </c>
      <c r="K331">
        <v>255</v>
      </c>
      <c r="L331">
        <v>255</v>
      </c>
      <c r="M331" s="3"/>
      <c r="Q331" s="4"/>
      <c r="U331" s="4"/>
      <c r="Y331" s="4"/>
      <c r="Z331">
        <f t="shared" si="54"/>
        <v>0</v>
      </c>
      <c r="AA331">
        <f t="shared" si="55"/>
        <v>127.5</v>
      </c>
      <c r="AB331">
        <f t="shared" si="56"/>
        <v>127.5</v>
      </c>
      <c r="AC331" s="24"/>
      <c r="AD331">
        <f t="shared" si="57"/>
        <v>0</v>
      </c>
      <c r="AE331">
        <f t="shared" si="58"/>
        <v>0</v>
      </c>
      <c r="AF331">
        <f t="shared" si="59"/>
        <v>127.5</v>
      </c>
      <c r="AG331" s="26"/>
      <c r="AH331">
        <f t="shared" si="51"/>
        <v>255</v>
      </c>
      <c r="AI331">
        <f t="shared" si="52"/>
        <v>255</v>
      </c>
      <c r="AJ331">
        <f t="shared" si="53"/>
        <v>255</v>
      </c>
      <c r="AK331" s="3"/>
      <c r="AL331">
        <f>SQRT((2+(($AL$3+Table4[[#This Row],[Red]])/2)/256)*($AL$3-Table4[[#This Row],[Red]])^2 + 4*($AM$3-Table4[[#This Row],[Green]])^2 + (2+(255-(($AL$3+Table4[[#This Row],[Red]])/2))/256 )*($AN$3-Table4[[#This Row],[Blue]])^2)</f>
        <v>461.73884579787091</v>
      </c>
      <c r="AM331">
        <f>SQRT((2+(($AO$3+Table4[[#This Row],[Red2]])/2)/256)*($AO$3-Table4[[#This Row],[Red2]])^2 + 4*($AP$3-Table4[[#This Row],[Green2]])^2 + (2+(255-(($AO$3+Table4[[#This Row],[Red2]])/2))/256 )*($AQ$3-Table4[[#This Row],[Blue2]])^2)</f>
        <v>206.13147636126561</v>
      </c>
      <c r="AN331">
        <f>SQRT(Table4[[#This Row],[diffPrimary]]^2+Table4[[#This Row],[diffSecondary]]^2)</f>
        <v>505.66090146028199</v>
      </c>
      <c r="AO331" s="2">
        <f>SQRT((2+(($AL$3+Table4[[#This Row],[Red2]])/2)/256)*($AL$3-Table4[[#This Row],[Red2]])^2 + 4*($AM$3-Table4[[#This Row],[Green2]])^2 + (2+(255-(($AL$3+Table4[[#This Row],[Red2]])/2))/256 )*($AN$3-Table4[[#This Row],[Blue2]])^2)</f>
        <v>487.11394970786864</v>
      </c>
      <c r="AP331" s="2">
        <f>SQRT((2+(($AO$3+Table4[[#This Row],[Red]])/2)/256)*($AO$3-Table4[[#This Row],[Red]])^2 + 4*($AP$3-Table4[[#This Row],[Green]])^2 + (2+(255-(($AO$3+Table4[[#This Row],[Red]])/2))/256 )*($AQ$3-Table4[[#This Row],[Blue]])^2)</f>
        <v>397.77332878632023</v>
      </c>
      <c r="AQ331" s="2">
        <f>SQRT(Table4[[#This Row],[diffPrimary2]]^2+Table4[[#This Row],[diffSecondary2]]^2)</f>
        <v>628.89078630057065</v>
      </c>
      <c r="AR331" s="786">
        <f>MIN(Table4[[#This Row],[MinOrig]],Table4[[#This Row],[MinSwap]])</f>
        <v>505.66090146028199</v>
      </c>
      <c r="AS331" s="2">
        <v>57.905954869728198</v>
      </c>
      <c r="AX331" s="4"/>
    </row>
    <row r="332" spans="1:50" x14ac:dyDescent="0.25">
      <c r="A332" t="s">
        <v>100</v>
      </c>
      <c r="B332">
        <v>0</v>
      </c>
      <c r="C332">
        <v>57</v>
      </c>
      <c r="D332">
        <v>166</v>
      </c>
      <c r="E332" s="263"/>
      <c r="F332">
        <v>198</v>
      </c>
      <c r="G332">
        <v>12</v>
      </c>
      <c r="H332">
        <v>48</v>
      </c>
      <c r="I332" s="264"/>
      <c r="J332">
        <v>0</v>
      </c>
      <c r="K332">
        <v>0</v>
      </c>
      <c r="L332">
        <v>0</v>
      </c>
      <c r="M332" s="4"/>
      <c r="Q332" s="4"/>
      <c r="U332" s="4"/>
      <c r="Y332" s="4"/>
      <c r="Z332">
        <f t="shared" si="54"/>
        <v>0</v>
      </c>
      <c r="AA332">
        <f t="shared" si="55"/>
        <v>0</v>
      </c>
      <c r="AB332">
        <f t="shared" si="56"/>
        <v>127.5</v>
      </c>
      <c r="AC332" s="26"/>
      <c r="AD332">
        <f t="shared" si="57"/>
        <v>255</v>
      </c>
      <c r="AE332">
        <f t="shared" si="58"/>
        <v>0</v>
      </c>
      <c r="AF332">
        <f t="shared" si="59"/>
        <v>0</v>
      </c>
      <c r="AG332" s="5"/>
      <c r="AH332">
        <f t="shared" si="51"/>
        <v>0</v>
      </c>
      <c r="AI332">
        <f t="shared" si="52"/>
        <v>0</v>
      </c>
      <c r="AJ332">
        <f t="shared" si="53"/>
        <v>0</v>
      </c>
      <c r="AK332" s="4"/>
      <c r="AL332">
        <f>SQRT((2+(($AL$3+Table4[[#This Row],[Red]])/2)/256)*($AL$3-Table4[[#This Row],[Red]])^2 + 4*($AM$3-Table4[[#This Row],[Green]])^2 + (2+(255-(($AL$3+Table4[[#This Row],[Red]])/2))/256 )*($AN$3-Table4[[#This Row],[Blue]])^2)</f>
        <v>564.70140581937198</v>
      </c>
      <c r="AM332">
        <f>SQRT((2+(($AO$3+Table4[[#This Row],[Red2]])/2)/256)*($AO$3-Table4[[#This Row],[Red2]])^2 + 4*($AP$3-Table4[[#This Row],[Green2]])^2 + (2+(255-(($AO$3+Table4[[#This Row],[Red2]])/2))/256 )*($AQ$3-Table4[[#This Row],[Blue2]])^2)</f>
        <v>316.4757840262032</v>
      </c>
      <c r="AN332">
        <f>SQRT(Table4[[#This Row],[diffPrimary]]^2+Table4[[#This Row],[diffSecondary]]^2)</f>
        <v>647.33654277305789</v>
      </c>
      <c r="AO332" s="2">
        <f>SQRT((2+(($AL$3+Table4[[#This Row],[Red2]])/2)/256)*($AL$3-Table4[[#This Row],[Red2]])^2 + 4*($AM$3-Table4[[#This Row],[Green2]])^2 + (2+(255-(($AL$3+Table4[[#This Row],[Red2]])/2))/256 )*($AN$3-Table4[[#This Row],[Blue2]])^2)</f>
        <v>404.02116716284183</v>
      </c>
      <c r="AP332" s="2">
        <f>SQRT((2+(($AO$3+Table4[[#This Row],[Red]])/2)/256)*($AO$3-Table4[[#This Row],[Red]])^2 + 4*($AP$3-Table4[[#This Row],[Green]])^2 + (2+(255-(($AO$3+Table4[[#This Row],[Red]])/2))/256 )*($AQ$3-Table4[[#This Row],[Blue]])^2)</f>
        <v>309.12191668498696</v>
      </c>
      <c r="AQ332" s="2">
        <f>SQRT(Table4[[#This Row],[diffPrimary2]]^2+Table4[[#This Row],[diffSecondary2]]^2)</f>
        <v>508.71353716077283</v>
      </c>
      <c r="AR332" s="786">
        <f>MIN(Table4[[#This Row],[MinOrig]],Table4[[#This Row],[MinSwap]])</f>
        <v>508.71353716077283</v>
      </c>
      <c r="AS332" s="2">
        <v>12.2874109864528</v>
      </c>
      <c r="AX332" s="4"/>
    </row>
    <row r="333" spans="1:50" x14ac:dyDescent="0.25">
      <c r="A333" t="s">
        <v>105</v>
      </c>
      <c r="B333">
        <v>0</v>
      </c>
      <c r="C333">
        <v>96</v>
      </c>
      <c r="D333">
        <v>169</v>
      </c>
      <c r="E333" s="271"/>
      <c r="F333">
        <v>255</v>
      </c>
      <c r="G333">
        <v>255</v>
      </c>
      <c r="H333">
        <v>255</v>
      </c>
      <c r="I333" s="3"/>
      <c r="M333" s="4"/>
      <c r="Q333" s="4"/>
      <c r="U333" s="4"/>
      <c r="Y333" s="4"/>
      <c r="Z333">
        <f t="shared" si="54"/>
        <v>0</v>
      </c>
      <c r="AA333">
        <f t="shared" si="55"/>
        <v>127.5</v>
      </c>
      <c r="AB333">
        <f t="shared" si="56"/>
        <v>127.5</v>
      </c>
      <c r="AC333" s="24"/>
      <c r="AD333">
        <f t="shared" si="57"/>
        <v>255</v>
      </c>
      <c r="AE333">
        <f t="shared" si="58"/>
        <v>255</v>
      </c>
      <c r="AF333">
        <f t="shared" si="59"/>
        <v>255</v>
      </c>
      <c r="AG333" s="3"/>
      <c r="AH333">
        <f t="shared" si="51"/>
        <v>0</v>
      </c>
      <c r="AI333">
        <f t="shared" si="52"/>
        <v>0</v>
      </c>
      <c r="AJ333">
        <f t="shared" si="53"/>
        <v>0</v>
      </c>
      <c r="AK333" s="4"/>
      <c r="AL333">
        <f>SQRT((2+(($AL$3+Table4[[#This Row],[Red]])/2)/256)*($AL$3-Table4[[#This Row],[Red]])^2 + 4*($AM$3-Table4[[#This Row],[Green]])^2 + (2+(255-(($AL$3+Table4[[#This Row],[Red]])/2))/256 )*($AN$3-Table4[[#This Row],[Blue]])^2)</f>
        <v>530.38308310479704</v>
      </c>
      <c r="AM333">
        <f>SQRT((2+(($AO$3+Table4[[#This Row],[Red2]])/2)/256)*($AO$3-Table4[[#This Row],[Red2]])^2 + 4*($AP$3-Table4[[#This Row],[Green2]])^2 + (2+(255-(($AO$3+Table4[[#This Row],[Red2]])/2))/256 )*($AQ$3-Table4[[#This Row],[Blue2]])^2)</f>
        <v>764.83396635724148</v>
      </c>
      <c r="AN333">
        <f>SQRT(Table4[[#This Row],[diffPrimary]]^2+Table4[[#This Row],[diffSecondary]]^2)</f>
        <v>930.74014146672539</v>
      </c>
      <c r="AO333" s="2">
        <f>SQRT((2+(($AL$3+Table4[[#This Row],[Red2]])/2)/256)*($AL$3-Table4[[#This Row],[Red2]])^2 + 4*($AM$3-Table4[[#This Row],[Green2]])^2 + (2+(255-(($AL$3+Table4[[#This Row],[Red2]])/2))/256 )*($AN$3-Table4[[#This Row],[Blue2]])^2)</f>
        <v>374.23254802328461</v>
      </c>
      <c r="AP333" s="2">
        <f>SQRT((2+(($AO$3+Table4[[#This Row],[Red]])/2)/256)*($AO$3-Table4[[#This Row],[Red]])^2 + 4*($AP$3-Table4[[#This Row],[Green]])^2 + (2+(255-(($AO$3+Table4[[#This Row],[Red]])/2))/256 )*($AQ$3-Table4[[#This Row],[Blue]])^2)</f>
        <v>349.9077501195851</v>
      </c>
      <c r="AQ333" s="2">
        <f>SQRT(Table4[[#This Row],[diffPrimary2]]^2+Table4[[#This Row],[diffSecondary2]]^2)</f>
        <v>512.33332274384622</v>
      </c>
      <c r="AR333" s="786">
        <f>MIN(Table4[[#This Row],[MinOrig]],Table4[[#This Row],[MinSwap]])</f>
        <v>512.33332274384622</v>
      </c>
      <c r="AS333" s="2">
        <v>31.234746277183</v>
      </c>
      <c r="AX333" s="4"/>
    </row>
    <row r="334" spans="1:50" x14ac:dyDescent="0.25">
      <c r="A334" t="s">
        <v>138</v>
      </c>
      <c r="B334">
        <v>220</v>
      </c>
      <c r="C334">
        <v>0</v>
      </c>
      <c r="D334">
        <v>50</v>
      </c>
      <c r="E334" s="321"/>
      <c r="F334">
        <v>255</v>
      </c>
      <c r="G334">
        <v>255</v>
      </c>
      <c r="H334">
        <v>255</v>
      </c>
      <c r="I334" s="3"/>
      <c r="J334">
        <v>252</v>
      </c>
      <c r="K334">
        <v>176</v>
      </c>
      <c r="L334">
        <v>52</v>
      </c>
      <c r="M334" s="322"/>
      <c r="Q334" s="4"/>
      <c r="U334" s="4"/>
      <c r="Y334" s="4"/>
      <c r="Z334">
        <f t="shared" si="54"/>
        <v>255</v>
      </c>
      <c r="AA334">
        <f t="shared" si="55"/>
        <v>0</v>
      </c>
      <c r="AB334">
        <f t="shared" si="56"/>
        <v>0</v>
      </c>
      <c r="AC334" s="5"/>
      <c r="AD334">
        <f t="shared" si="57"/>
        <v>255</v>
      </c>
      <c r="AE334">
        <f t="shared" si="58"/>
        <v>255</v>
      </c>
      <c r="AF334">
        <f t="shared" si="59"/>
        <v>255</v>
      </c>
      <c r="AG334" s="3"/>
      <c r="AH334">
        <f t="shared" si="51"/>
        <v>255</v>
      </c>
      <c r="AI334">
        <f t="shared" si="52"/>
        <v>127.5</v>
      </c>
      <c r="AJ334">
        <f t="shared" si="53"/>
        <v>0</v>
      </c>
      <c r="AK334" s="28"/>
      <c r="AL334">
        <f>SQRT((2+(($AL$3+Table4[[#This Row],[Red]])/2)/256)*($AL$3-Table4[[#This Row],[Red]])^2 + 4*($AM$3-Table4[[#This Row],[Green]])^2 + (2+(255-(($AL$3+Table4[[#This Row],[Red]])/2))/256 )*($AN$3-Table4[[#This Row],[Blue]])^2)</f>
        <v>420.54413923733972</v>
      </c>
      <c r="AM334">
        <f>SQRT((2+(($AO$3+Table4[[#This Row],[Red2]])/2)/256)*($AO$3-Table4[[#This Row],[Red2]])^2 + 4*($AP$3-Table4[[#This Row],[Green2]])^2 + (2+(255-(($AO$3+Table4[[#This Row],[Red2]])/2))/256 )*($AQ$3-Table4[[#This Row],[Blue2]])^2)</f>
        <v>764.83396635724148</v>
      </c>
      <c r="AN334">
        <f>SQRT(Table4[[#This Row],[diffPrimary]]^2+Table4[[#This Row],[diffSecondary]]^2)</f>
        <v>872.82780039399813</v>
      </c>
      <c r="AO334" s="2">
        <f>SQRT((2+(($AL$3+Table4[[#This Row],[Red2]])/2)/256)*($AL$3-Table4[[#This Row],[Red2]])^2 + 4*($AM$3-Table4[[#This Row],[Green2]])^2 + (2+(255-(($AL$3+Table4[[#This Row],[Red2]])/2))/256 )*($AN$3-Table4[[#This Row],[Blue2]])^2)</f>
        <v>374.23254802328461</v>
      </c>
      <c r="AP334" s="2">
        <f>SQRT((2+(($AO$3+Table4[[#This Row],[Red]])/2)/256)*($AO$3-Table4[[#This Row],[Red]])^2 + 4*($AP$3-Table4[[#This Row],[Green]])^2 + (2+(255-(($AO$3+Table4[[#This Row],[Red]])/2))/256 )*($AQ$3-Table4[[#This Row],[Blue]])^2)</f>
        <v>352.15464021506233</v>
      </c>
      <c r="AQ334" s="2">
        <f>SQRT(Table4[[#This Row],[diffPrimary2]]^2+Table4[[#This Row],[diffSecondary2]]^2)</f>
        <v>513.87049985867066</v>
      </c>
      <c r="AR334" s="786">
        <f>MIN(Table4[[#This Row],[MinOrig]],Table4[[#This Row],[MinSwap]])</f>
        <v>513.87049985867066</v>
      </c>
      <c r="AS334" s="2">
        <v>71.939726290485694</v>
      </c>
      <c r="AX334" s="4"/>
    </row>
    <row r="335" spans="1:50" x14ac:dyDescent="0.25">
      <c r="A335" t="s">
        <v>199</v>
      </c>
      <c r="B335">
        <v>0</v>
      </c>
      <c r="C335">
        <v>51</v>
      </c>
      <c r="D335">
        <v>102</v>
      </c>
      <c r="E335" s="82"/>
      <c r="F335">
        <v>0</v>
      </c>
      <c r="G335">
        <v>112</v>
      </c>
      <c r="H335">
        <v>115</v>
      </c>
      <c r="I335" s="581"/>
      <c r="J335">
        <v>255</v>
      </c>
      <c r="K335">
        <v>215</v>
      </c>
      <c r="L335">
        <v>0</v>
      </c>
      <c r="M335" s="61"/>
      <c r="Q335" s="4"/>
      <c r="U335" s="4"/>
      <c r="Y335" s="4"/>
      <c r="Z335">
        <f t="shared" si="54"/>
        <v>0</v>
      </c>
      <c r="AA335">
        <f t="shared" si="55"/>
        <v>0</v>
      </c>
      <c r="AB335">
        <f t="shared" si="56"/>
        <v>127.5</v>
      </c>
      <c r="AC335" s="26"/>
      <c r="AD335">
        <f t="shared" si="57"/>
        <v>0</v>
      </c>
      <c r="AE335">
        <f t="shared" si="58"/>
        <v>127.5</v>
      </c>
      <c r="AF335">
        <f t="shared" si="59"/>
        <v>127.5</v>
      </c>
      <c r="AG335" s="24"/>
      <c r="AH335">
        <f t="shared" si="51"/>
        <v>255</v>
      </c>
      <c r="AI335">
        <f t="shared" si="52"/>
        <v>255</v>
      </c>
      <c r="AJ335">
        <f t="shared" si="53"/>
        <v>0</v>
      </c>
      <c r="AK335" s="9"/>
      <c r="AL335">
        <f>SQRT((2+(($AL$3+Table4[[#This Row],[Red]])/2)/256)*($AL$3-Table4[[#This Row],[Red]])^2 + 4*($AM$3-Table4[[#This Row],[Green]])^2 + (2+(255-(($AL$3+Table4[[#This Row],[Red]])/2))/256 )*($AN$3-Table4[[#This Row],[Blue]])^2)</f>
        <v>532.24916884329184</v>
      </c>
      <c r="AM335">
        <f>SQRT((2+(($AO$3+Table4[[#This Row],[Red2]])/2)/256)*($AO$3-Table4[[#This Row],[Red2]])^2 + 4*($AP$3-Table4[[#This Row],[Green2]])^2 + (2+(255-(($AO$3+Table4[[#This Row],[Red2]])/2))/256 )*($AQ$3-Table4[[#This Row],[Blue2]])^2)</f>
        <v>299.66537978844002</v>
      </c>
      <c r="AN335">
        <f>SQRT(Table4[[#This Row],[diffPrimary]]^2+Table4[[#This Row],[diffSecondary]]^2)</f>
        <v>610.80972289095484</v>
      </c>
      <c r="AO335" s="2">
        <f>SQRT((2+(($AL$3+Table4[[#This Row],[Red2]])/2)/256)*($AL$3-Table4[[#This Row],[Red2]])^2 + 4*($AM$3-Table4[[#This Row],[Green2]])^2 + (2+(255-(($AL$3+Table4[[#This Row],[Red2]])/2))/256 )*($AN$3-Table4[[#This Row],[Blue2]])^2)</f>
        <v>479.65421708638195</v>
      </c>
      <c r="AP335" s="2">
        <f>SQRT((2+(($AO$3+Table4[[#This Row],[Red]])/2)/256)*($AO$3-Table4[[#This Row],[Red]])^2 + 4*($AP$3-Table4[[#This Row],[Green]])^2 + (2+(255-(($AO$3+Table4[[#This Row],[Red]])/2))/256 )*($AQ$3-Table4[[#This Row],[Blue]])^2)</f>
        <v>203.90036629442332</v>
      </c>
      <c r="AQ335" s="2">
        <f>SQRT(Table4[[#This Row],[diffPrimary2]]^2+Table4[[#This Row],[diffSecondary2]]^2)</f>
        <v>521.19432781233331</v>
      </c>
      <c r="AR335" s="786">
        <f>MIN(Table4[[#This Row],[MinOrig]],Table4[[#This Row],[MinSwap]])</f>
        <v>521.19432781233331</v>
      </c>
      <c r="AS335" s="2">
        <v>77.823819457798393</v>
      </c>
      <c r="AX335" s="4"/>
    </row>
    <row r="336" spans="1:50" x14ac:dyDescent="0.25">
      <c r="A336" t="s">
        <v>228</v>
      </c>
      <c r="B336">
        <v>0</v>
      </c>
      <c r="C336">
        <v>96</v>
      </c>
      <c r="D336">
        <v>169</v>
      </c>
      <c r="E336" s="271"/>
      <c r="F336">
        <v>154</v>
      </c>
      <c r="G336">
        <v>34</v>
      </c>
      <c r="H336">
        <v>53</v>
      </c>
      <c r="I336" s="450"/>
      <c r="J336">
        <v>255</v>
      </c>
      <c r="K336">
        <v>255</v>
      </c>
      <c r="L336">
        <v>255</v>
      </c>
      <c r="M336" s="3"/>
      <c r="Q336" s="4"/>
      <c r="U336" s="4"/>
      <c r="Y336" s="4"/>
      <c r="Z336">
        <f t="shared" si="54"/>
        <v>0</v>
      </c>
      <c r="AA336">
        <f t="shared" si="55"/>
        <v>127.5</v>
      </c>
      <c r="AB336">
        <f t="shared" si="56"/>
        <v>127.5</v>
      </c>
      <c r="AC336" s="24"/>
      <c r="AD336">
        <f t="shared" si="57"/>
        <v>127.5</v>
      </c>
      <c r="AE336">
        <f t="shared" si="58"/>
        <v>0</v>
      </c>
      <c r="AF336">
        <f t="shared" si="59"/>
        <v>0</v>
      </c>
      <c r="AG336" s="27"/>
      <c r="AH336">
        <f t="shared" si="51"/>
        <v>255</v>
      </c>
      <c r="AI336">
        <f t="shared" si="52"/>
        <v>255</v>
      </c>
      <c r="AJ336">
        <f t="shared" si="53"/>
        <v>255</v>
      </c>
      <c r="AK336" s="3"/>
      <c r="AL336">
        <f>SQRT((2+(($AL$3+Table4[[#This Row],[Red]])/2)/256)*($AL$3-Table4[[#This Row],[Red]])^2 + 4*($AM$3-Table4[[#This Row],[Green]])^2 + (2+(255-(($AL$3+Table4[[#This Row],[Red]])/2))/256 )*($AN$3-Table4[[#This Row],[Blue]])^2)</f>
        <v>530.38308310479704</v>
      </c>
      <c r="AM336">
        <f>SQRT((2+(($AO$3+Table4[[#This Row],[Red2]])/2)/256)*($AO$3-Table4[[#This Row],[Red2]])^2 + 4*($AP$3-Table4[[#This Row],[Green2]])^2 + (2+(255-(($AO$3+Table4[[#This Row],[Red2]])/2))/256 )*($AQ$3-Table4[[#This Row],[Blue2]])^2)</f>
        <v>258.38045773142363</v>
      </c>
      <c r="AN336">
        <f>SQRT(Table4[[#This Row],[diffPrimary]]^2+Table4[[#This Row],[diffSecondary]]^2)</f>
        <v>589.97175846073344</v>
      </c>
      <c r="AO336" s="2">
        <f>SQRT((2+(($AL$3+Table4[[#This Row],[Red2]])/2)/256)*($AL$3-Table4[[#This Row],[Red2]])^2 + 4*($AM$3-Table4[[#This Row],[Green2]])^2 + (2+(255-(($AL$3+Table4[[#This Row],[Red2]])/2))/256 )*($AN$3-Table4[[#This Row],[Blue2]])^2)</f>
        <v>389.4701077666295</v>
      </c>
      <c r="AP336" s="2">
        <f>SQRT((2+(($AO$3+Table4[[#This Row],[Red]])/2)/256)*($AO$3-Table4[[#This Row],[Red]])^2 + 4*($AP$3-Table4[[#This Row],[Green]])^2 + (2+(255-(($AO$3+Table4[[#This Row],[Red]])/2))/256 )*($AQ$3-Table4[[#This Row],[Blue]])^2)</f>
        <v>349.9077501195851</v>
      </c>
      <c r="AQ336" s="2">
        <f>SQRT(Table4[[#This Row],[diffPrimary2]]^2+Table4[[#This Row],[diffSecondary2]]^2)</f>
        <v>523.56699517588004</v>
      </c>
      <c r="AR336" s="786">
        <f>MIN(Table4[[#This Row],[MinOrig]],Table4[[#This Row],[MinSwap]])</f>
        <v>523.56699517588004</v>
      </c>
      <c r="AS336" s="2">
        <v>109.781067641465</v>
      </c>
      <c r="AX336" s="4"/>
    </row>
    <row r="337" spans="1:50" x14ac:dyDescent="0.25">
      <c r="A337" t="s">
        <v>33</v>
      </c>
      <c r="B337">
        <v>0</v>
      </c>
      <c r="C337">
        <v>91</v>
      </c>
      <c r="D337">
        <v>187</v>
      </c>
      <c r="E337" s="126"/>
      <c r="F337">
        <v>255</v>
      </c>
      <c r="G337">
        <v>255</v>
      </c>
      <c r="H337">
        <v>255</v>
      </c>
      <c r="I337" s="3"/>
      <c r="M337" s="4"/>
      <c r="Q337" s="4"/>
      <c r="U337" s="4"/>
      <c r="Y337" s="4"/>
      <c r="Z337">
        <f t="shared" si="54"/>
        <v>0</v>
      </c>
      <c r="AA337">
        <f t="shared" si="55"/>
        <v>127.5</v>
      </c>
      <c r="AB337">
        <f t="shared" si="56"/>
        <v>127.5</v>
      </c>
      <c r="AC337" s="24"/>
      <c r="AD337">
        <f t="shared" si="57"/>
        <v>255</v>
      </c>
      <c r="AE337">
        <f t="shared" si="58"/>
        <v>255</v>
      </c>
      <c r="AF337">
        <f t="shared" si="59"/>
        <v>255</v>
      </c>
      <c r="AG337" s="3"/>
      <c r="AH337">
        <f t="shared" si="51"/>
        <v>0</v>
      </c>
      <c r="AI337">
        <f t="shared" si="52"/>
        <v>0</v>
      </c>
      <c r="AJ337">
        <f t="shared" si="53"/>
        <v>0</v>
      </c>
      <c r="AK337" s="4"/>
      <c r="AL337">
        <f>SQRT((2+(($AL$3+Table4[[#This Row],[Red]])/2)/256)*($AL$3-Table4[[#This Row],[Red]])^2 + 4*($AM$3-Table4[[#This Row],[Green]])^2 + (2+(255-(($AL$3+Table4[[#This Row],[Red]])/2))/256 )*($AN$3-Table4[[#This Row],[Blue]])^2)</f>
        <v>549.33932975780101</v>
      </c>
      <c r="AM337">
        <f>SQRT((2+(($AO$3+Table4[[#This Row],[Red2]])/2)/256)*($AO$3-Table4[[#This Row],[Red2]])^2 + 4*($AP$3-Table4[[#This Row],[Green2]])^2 + (2+(255-(($AO$3+Table4[[#This Row],[Red2]])/2))/256 )*($AQ$3-Table4[[#This Row],[Blue2]])^2)</f>
        <v>764.83396635724148</v>
      </c>
      <c r="AN337">
        <f>SQRT(Table4[[#This Row],[diffPrimary]]^2+Table4[[#This Row],[diffSecondary]]^2)</f>
        <v>941.67122463867395</v>
      </c>
      <c r="AO337" s="2">
        <f>SQRT((2+(($AL$3+Table4[[#This Row],[Red2]])/2)/256)*($AL$3-Table4[[#This Row],[Red2]])^2 + 4*($AM$3-Table4[[#This Row],[Green2]])^2 + (2+(255-(($AL$3+Table4[[#This Row],[Red2]])/2))/256 )*($AN$3-Table4[[#This Row],[Blue2]])^2)</f>
        <v>374.23254802328461</v>
      </c>
      <c r="AP337" s="2">
        <f>SQRT((2+(($AO$3+Table4[[#This Row],[Red]])/2)/256)*($AO$3-Table4[[#This Row],[Red]])^2 + 4*($AP$3-Table4[[#This Row],[Green]])^2 + (2+(255-(($AO$3+Table4[[#This Row],[Red]])/2))/256 )*($AQ$3-Table4[[#This Row],[Blue]])^2)</f>
        <v>371.34135555274474</v>
      </c>
      <c r="AQ337" s="2">
        <f>SQRT(Table4[[#This Row],[diffPrimary2]]^2+Table4[[#This Row],[diffSecondary2]]^2)</f>
        <v>527.20432693951784</v>
      </c>
      <c r="AR337" s="786">
        <f>MIN(Table4[[#This Row],[MinOrig]],Table4[[#This Row],[MinSwap]])</f>
        <v>527.20432693951784</v>
      </c>
      <c r="AS337" s="2">
        <v>32.722077791607298</v>
      </c>
      <c r="AX337" s="4"/>
    </row>
    <row r="338" spans="1:50" x14ac:dyDescent="0.25">
      <c r="A338" t="s">
        <v>265</v>
      </c>
      <c r="B338">
        <v>53</v>
      </c>
      <c r="C338">
        <v>76</v>
      </c>
      <c r="D338">
        <v>161</v>
      </c>
      <c r="E338" s="494"/>
      <c r="F338">
        <v>204</v>
      </c>
      <c r="G338">
        <v>0</v>
      </c>
      <c r="H338">
        <v>0</v>
      </c>
      <c r="I338" s="109"/>
      <c r="M338" s="4"/>
      <c r="Q338" s="4"/>
      <c r="U338" s="4"/>
      <c r="Y338" s="4"/>
      <c r="Z338">
        <f t="shared" si="54"/>
        <v>0</v>
      </c>
      <c r="AA338">
        <f t="shared" si="55"/>
        <v>127.5</v>
      </c>
      <c r="AB338">
        <f t="shared" si="56"/>
        <v>127.5</v>
      </c>
      <c r="AC338" s="24"/>
      <c r="AD338">
        <f t="shared" si="57"/>
        <v>255</v>
      </c>
      <c r="AE338">
        <f t="shared" si="58"/>
        <v>0</v>
      </c>
      <c r="AF338">
        <f t="shared" si="59"/>
        <v>0</v>
      </c>
      <c r="AG338" s="5"/>
      <c r="AH338">
        <f t="shared" si="51"/>
        <v>0</v>
      </c>
      <c r="AI338">
        <f t="shared" si="52"/>
        <v>0</v>
      </c>
      <c r="AJ338">
        <f t="shared" si="53"/>
        <v>0</v>
      </c>
      <c r="AK338" s="4"/>
      <c r="AL338">
        <f>SQRT((2+(($AL$3+Table4[[#This Row],[Red]])/2)/256)*($AL$3-Table4[[#This Row],[Red]])^2 + 4*($AM$3-Table4[[#This Row],[Green]])^2 + (2+(255-(($AL$3+Table4[[#This Row],[Red]])/2))/256 )*($AN$3-Table4[[#This Row],[Blue]])^2)</f>
        <v>484.54803764049029</v>
      </c>
      <c r="AM338">
        <f>SQRT((2+(($AO$3+Table4[[#This Row],[Red2]])/2)/256)*($AO$3-Table4[[#This Row],[Red2]])^2 + 4*($AP$3-Table4[[#This Row],[Green2]])^2 + (2+(255-(($AO$3+Table4[[#This Row],[Red2]])/2))/256 )*($AQ$3-Table4[[#This Row],[Blue2]])^2)</f>
        <v>315.93254818077861</v>
      </c>
      <c r="AN338">
        <f>SQRT(Table4[[#This Row],[diffPrimary]]^2+Table4[[#This Row],[diffSecondary]]^2)</f>
        <v>578.44634650177363</v>
      </c>
      <c r="AO338" s="2">
        <f>SQRT((2+(($AL$3+Table4[[#This Row],[Red2]])/2)/256)*($AL$3-Table4[[#This Row],[Red2]])^2 + 4*($AM$3-Table4[[#This Row],[Green2]])^2 + (2+(255-(($AL$3+Table4[[#This Row],[Red2]])/2))/256 )*($AN$3-Table4[[#This Row],[Blue2]])^2)</f>
        <v>419.08681184138328</v>
      </c>
      <c r="AP338" s="2">
        <f>SQRT((2+(($AO$3+Table4[[#This Row],[Red]])/2)/256)*($AO$3-Table4[[#This Row],[Red]])^2 + 4*($AP$3-Table4[[#This Row],[Green]])^2 + (2+(255-(($AO$3+Table4[[#This Row],[Red]])/2))/256 )*($AQ$3-Table4[[#This Row],[Blue]])^2)</f>
        <v>322.47680997050003</v>
      </c>
      <c r="AQ338" s="2">
        <f>SQRT(Table4[[#This Row],[diffPrimary2]]^2+Table4[[#This Row],[diffSecondary2]]^2)</f>
        <v>528.79584796793267</v>
      </c>
      <c r="AR338" s="786">
        <f>MIN(Table4[[#This Row],[MinOrig]],Table4[[#This Row],[MinSwap]])</f>
        <v>528.79584796793267</v>
      </c>
      <c r="AS338" s="2">
        <v>102.052376258468</v>
      </c>
      <c r="AX338" s="4"/>
    </row>
    <row r="339" spans="1:50" x14ac:dyDescent="0.25">
      <c r="A339" t="s">
        <v>301</v>
      </c>
      <c r="B339">
        <v>45</v>
      </c>
      <c r="C339">
        <v>108</v>
      </c>
      <c r="D339">
        <v>192</v>
      </c>
      <c r="E339" s="589"/>
      <c r="F339">
        <v>0</v>
      </c>
      <c r="G339">
        <v>48</v>
      </c>
      <c r="H339">
        <v>102</v>
      </c>
      <c r="I339" s="590"/>
      <c r="J339">
        <v>241</v>
      </c>
      <c r="K339">
        <v>171</v>
      </c>
      <c r="L339">
        <v>0</v>
      </c>
      <c r="M339" s="591"/>
      <c r="N339">
        <v>122</v>
      </c>
      <c r="O339">
        <v>110</v>
      </c>
      <c r="P339">
        <v>103</v>
      </c>
      <c r="Q339" s="592"/>
      <c r="R339">
        <v>0</v>
      </c>
      <c r="S339">
        <v>0</v>
      </c>
      <c r="T339">
        <v>0</v>
      </c>
      <c r="U339" s="4"/>
      <c r="Y339" s="4"/>
      <c r="Z339">
        <f t="shared" si="54"/>
        <v>0</v>
      </c>
      <c r="AA339">
        <f t="shared" si="55"/>
        <v>127.5</v>
      </c>
      <c r="AB339">
        <f t="shared" si="56"/>
        <v>255</v>
      </c>
      <c r="AC339" s="36"/>
      <c r="AD339">
        <f t="shared" si="57"/>
        <v>0</v>
      </c>
      <c r="AE339">
        <f t="shared" si="58"/>
        <v>0</v>
      </c>
      <c r="AF339">
        <f t="shared" si="59"/>
        <v>127.5</v>
      </c>
      <c r="AG339" s="26"/>
      <c r="AH339">
        <f t="shared" si="51"/>
        <v>255</v>
      </c>
      <c r="AI339">
        <f t="shared" si="52"/>
        <v>127.5</v>
      </c>
      <c r="AJ339">
        <f t="shared" si="53"/>
        <v>0</v>
      </c>
      <c r="AK339" s="28"/>
      <c r="AL339">
        <f>SQRT((2+(($AL$3+Table4[[#This Row],[Red]])/2)/256)*($AL$3-Table4[[#This Row],[Red]])^2 + 4*($AM$3-Table4[[#This Row],[Green]])^2 + (2+(255-(($AL$3+Table4[[#This Row],[Red]])/2))/256 )*($AN$3-Table4[[#This Row],[Blue]])^2)</f>
        <v>490.43230292263581</v>
      </c>
      <c r="AM339">
        <f>SQRT((2+(($AO$3+Table4[[#This Row],[Red2]])/2)/256)*($AO$3-Table4[[#This Row],[Red2]])^2 + 4*($AP$3-Table4[[#This Row],[Green2]])^2 + (2+(255-(($AO$3+Table4[[#This Row],[Red2]])/2))/256 )*($AQ$3-Table4[[#This Row],[Blue2]])^2)</f>
        <v>200.96606523241678</v>
      </c>
      <c r="AN339">
        <f>SQRT(Table4[[#This Row],[diffPrimary]]^2+Table4[[#This Row],[diffSecondary]]^2)</f>
        <v>530.01056888047049</v>
      </c>
      <c r="AO339" s="2">
        <f>SQRT((2+(($AL$3+Table4[[#This Row],[Red2]])/2)/256)*($AL$3-Table4[[#This Row],[Red2]])^2 + 4*($AM$3-Table4[[#This Row],[Green2]])^2 + (2+(255-(($AL$3+Table4[[#This Row],[Red2]])/2))/256 )*($AN$3-Table4[[#This Row],[Blue2]])^2)</f>
        <v>535.74357460857618</v>
      </c>
      <c r="AP339" s="2">
        <f>SQRT((2+(($AO$3+Table4[[#This Row],[Red]])/2)/256)*($AO$3-Table4[[#This Row],[Red]])^2 + 4*($AP$3-Table4[[#This Row],[Green]])^2 + (2+(255-(($AO$3+Table4[[#This Row],[Red]])/2))/256 )*($AQ$3-Table4[[#This Row],[Blue]])^2)</f>
        <v>397.60781998801912</v>
      </c>
      <c r="AQ339" s="2">
        <f>SQRT(Table4[[#This Row],[diffPrimary2]]^2+Table4[[#This Row],[diffSecondary2]]^2)</f>
        <v>667.16801201046803</v>
      </c>
      <c r="AR339" s="786">
        <f>MIN(Table4[[#This Row],[MinOrig]],Table4[[#This Row],[MinSwap]])</f>
        <v>530.01056888047049</v>
      </c>
      <c r="AS339" s="2">
        <v>57.905954869728198</v>
      </c>
      <c r="AX339" s="4"/>
    </row>
    <row r="340" spans="1:50" x14ac:dyDescent="0.25">
      <c r="A340" t="s">
        <v>125</v>
      </c>
      <c r="B340">
        <v>0</v>
      </c>
      <c r="C340">
        <v>47</v>
      </c>
      <c r="D340">
        <v>108</v>
      </c>
      <c r="E340" s="220"/>
      <c r="F340">
        <v>0</v>
      </c>
      <c r="G340">
        <v>0</v>
      </c>
      <c r="H340">
        <v>0</v>
      </c>
      <c r="I340" s="4"/>
      <c r="J340">
        <v>99</v>
      </c>
      <c r="K340">
        <v>102</v>
      </c>
      <c r="L340">
        <v>106</v>
      </c>
      <c r="M340" s="348"/>
      <c r="N340">
        <v>151</v>
      </c>
      <c r="O340">
        <v>153</v>
      </c>
      <c r="P340">
        <v>155</v>
      </c>
      <c r="Q340" s="391"/>
      <c r="R340">
        <v>187</v>
      </c>
      <c r="S340">
        <v>188</v>
      </c>
      <c r="T340">
        <v>188</v>
      </c>
      <c r="U340" s="389"/>
      <c r="Y340" s="4"/>
      <c r="Z340">
        <f t="shared" si="54"/>
        <v>0</v>
      </c>
      <c r="AA340">
        <f t="shared" si="55"/>
        <v>0</v>
      </c>
      <c r="AB340">
        <f t="shared" si="56"/>
        <v>127.5</v>
      </c>
      <c r="AC340" s="26"/>
      <c r="AD340">
        <f t="shared" si="57"/>
        <v>0</v>
      </c>
      <c r="AE340">
        <f t="shared" si="58"/>
        <v>0</v>
      </c>
      <c r="AF340">
        <f t="shared" si="59"/>
        <v>0</v>
      </c>
      <c r="AG340" s="4"/>
      <c r="AH340">
        <f t="shared" si="51"/>
        <v>127.5</v>
      </c>
      <c r="AI340">
        <f t="shared" si="52"/>
        <v>127.5</v>
      </c>
      <c r="AJ340">
        <f t="shared" si="53"/>
        <v>127.5</v>
      </c>
      <c r="AK340" s="32"/>
      <c r="AL340">
        <f>SQRT((2+(($AL$3+Table4[[#This Row],[Red]])/2)/256)*($AL$3-Table4[[#This Row],[Red]])^2 + 4*($AM$3-Table4[[#This Row],[Green]])^2 + (2+(255-(($AL$3+Table4[[#This Row],[Red]])/2))/256 )*($AN$3-Table4[[#This Row],[Blue]])^2)</f>
        <v>539.84138114530924</v>
      </c>
      <c r="AM340">
        <f>SQRT((2+(($AO$3+Table4[[#This Row],[Red2]])/2)/256)*($AO$3-Table4[[#This Row],[Red2]])^2 + 4*($AP$3-Table4[[#This Row],[Green2]])^2 + (2+(255-(($AO$3+Table4[[#This Row],[Red2]])/2))/256 )*($AQ$3-Table4[[#This Row],[Blue2]])^2)</f>
        <v>0</v>
      </c>
      <c r="AN340">
        <f>SQRT(Table4[[#This Row],[diffPrimary]]^2+Table4[[#This Row],[diffSecondary]]^2)</f>
        <v>539.84138114530924</v>
      </c>
      <c r="AO340" s="2">
        <f>SQRT((2+(($AL$3+Table4[[#This Row],[Red2]])/2)/256)*($AL$3-Table4[[#This Row],[Red2]])^2 + 4*($AM$3-Table4[[#This Row],[Green2]])^2 + (2+(255-(($AL$3+Table4[[#This Row],[Red2]])/2))/256 )*($AN$3-Table4[[#This Row],[Blue2]])^2)</f>
        <v>574.92216694686158</v>
      </c>
      <c r="AP340" s="2">
        <f>SQRT((2+(($AO$3+Table4[[#This Row],[Red]])/2)/256)*($AO$3-Table4[[#This Row],[Red]])^2 + 4*($AP$3-Table4[[#This Row],[Green]])^2 + (2+(255-(($AO$3+Table4[[#This Row],[Red]])/2))/256 )*($AQ$3-Table4[[#This Row],[Blue]])^2)</f>
        <v>209.24253272219775</v>
      </c>
      <c r="AQ340" s="2">
        <f>SQRT(Table4[[#This Row],[diffPrimary2]]^2+Table4[[#This Row],[diffSecondary2]]^2)</f>
        <v>611.81527894199814</v>
      </c>
      <c r="AR340" s="786">
        <f>MIN(Table4[[#This Row],[MinOrig]],Table4[[#This Row],[MinSwap]])</f>
        <v>539.84138114530924</v>
      </c>
      <c r="AS340" s="2">
        <v>110.48918216278</v>
      </c>
      <c r="AX340" s="4"/>
    </row>
    <row r="341" spans="1:50" x14ac:dyDescent="0.25">
      <c r="A341" t="s">
        <v>255</v>
      </c>
      <c r="B341">
        <v>239</v>
      </c>
      <c r="C341">
        <v>56</v>
      </c>
      <c r="D341">
        <v>41</v>
      </c>
      <c r="E341" s="482"/>
      <c r="F341">
        <v>255</v>
      </c>
      <c r="G341">
        <v>255</v>
      </c>
      <c r="H341">
        <v>255</v>
      </c>
      <c r="I341" s="3"/>
      <c r="J341">
        <v>207</v>
      </c>
      <c r="K341">
        <v>170</v>
      </c>
      <c r="L341">
        <v>122</v>
      </c>
      <c r="M341" s="483"/>
      <c r="N341">
        <v>166</v>
      </c>
      <c r="O341">
        <v>132</v>
      </c>
      <c r="P341">
        <v>98</v>
      </c>
      <c r="Q341" s="484"/>
      <c r="R341">
        <v>137</v>
      </c>
      <c r="S341">
        <v>101</v>
      </c>
      <c r="T341">
        <v>50</v>
      </c>
      <c r="U341" s="485"/>
      <c r="V341">
        <v>90</v>
      </c>
      <c r="W341">
        <v>71</v>
      </c>
      <c r="X341">
        <v>28</v>
      </c>
      <c r="Y341" s="486"/>
      <c r="Z341">
        <f t="shared" si="54"/>
        <v>255</v>
      </c>
      <c r="AA341">
        <f t="shared" si="55"/>
        <v>0</v>
      </c>
      <c r="AB341">
        <f t="shared" si="56"/>
        <v>0</v>
      </c>
      <c r="AC341" s="5"/>
      <c r="AD341">
        <f t="shared" si="57"/>
        <v>255</v>
      </c>
      <c r="AE341">
        <f t="shared" si="58"/>
        <v>255</v>
      </c>
      <c r="AF341">
        <f t="shared" si="59"/>
        <v>255</v>
      </c>
      <c r="AG341" s="3"/>
      <c r="AH341">
        <f t="shared" si="51"/>
        <v>255</v>
      </c>
      <c r="AI341">
        <f t="shared" si="52"/>
        <v>127.5</v>
      </c>
      <c r="AJ341">
        <f t="shared" si="53"/>
        <v>127.5</v>
      </c>
      <c r="AK341" s="25"/>
      <c r="AL341">
        <f>SQRT((2+(($AL$3+Table4[[#This Row],[Red]])/2)/256)*($AL$3-Table4[[#This Row],[Red]])^2 + 4*($AM$3-Table4[[#This Row],[Green]])^2 + (2+(255-(($AL$3+Table4[[#This Row],[Red]])/2))/256 )*($AN$3-Table4[[#This Row],[Blue]])^2)</f>
        <v>304.92217244733121</v>
      </c>
      <c r="AM341">
        <f>SQRT((2+(($AO$3+Table4[[#This Row],[Red2]])/2)/256)*($AO$3-Table4[[#This Row],[Red2]])^2 + 4*($AP$3-Table4[[#This Row],[Green2]])^2 + (2+(255-(($AO$3+Table4[[#This Row],[Red2]])/2))/256 )*($AQ$3-Table4[[#This Row],[Blue2]])^2)</f>
        <v>764.83396635724148</v>
      </c>
      <c r="AN341">
        <f>SQRT(Table4[[#This Row],[diffPrimary]]^2+Table4[[#This Row],[diffSecondary]]^2)</f>
        <v>823.37629753579256</v>
      </c>
      <c r="AO341" s="2">
        <f>SQRT((2+(($AL$3+Table4[[#This Row],[Red2]])/2)/256)*($AL$3-Table4[[#This Row],[Red2]])^2 + 4*($AM$3-Table4[[#This Row],[Green2]])^2 + (2+(255-(($AL$3+Table4[[#This Row],[Red2]])/2))/256 )*($AN$3-Table4[[#This Row],[Blue2]])^2)</f>
        <v>374.23254802328461</v>
      </c>
      <c r="AP341" s="2">
        <f>SQRT((2+(($AO$3+Table4[[#This Row],[Red]])/2)/256)*($AO$3-Table4[[#This Row],[Red]])^2 + 4*($AP$3-Table4[[#This Row],[Green]])^2 + (2+(255-(($AO$3+Table4[[#This Row],[Red]])/2))/256 )*($AQ$3-Table4[[#This Row],[Blue]])^2)</f>
        <v>397.11667346480175</v>
      </c>
      <c r="AQ341" s="2">
        <f>SQRT(Table4[[#This Row],[diffPrimary2]]^2+Table4[[#This Row],[diffSecondary2]]^2)</f>
        <v>545.66624629323553</v>
      </c>
      <c r="AR341" s="786">
        <f>MIN(Table4[[#This Row],[MinOrig]],Table4[[#This Row],[MinSwap]])</f>
        <v>545.66624629323553</v>
      </c>
      <c r="AS341" s="2">
        <v>77.610203903868197</v>
      </c>
      <c r="AX341" s="4"/>
    </row>
    <row r="342" spans="1:50" x14ac:dyDescent="0.25">
      <c r="A342" t="s">
        <v>131</v>
      </c>
      <c r="B342">
        <v>0</v>
      </c>
      <c r="C342">
        <v>81</v>
      </c>
      <c r="D342">
        <v>186</v>
      </c>
      <c r="E342" s="308"/>
      <c r="F342">
        <v>232</v>
      </c>
      <c r="G342">
        <v>0</v>
      </c>
      <c r="H342">
        <v>13</v>
      </c>
      <c r="I342" s="309"/>
      <c r="J342">
        <v>255</v>
      </c>
      <c r="K342">
        <v>200</v>
      </c>
      <c r="L342">
        <v>45</v>
      </c>
      <c r="M342" s="310"/>
      <c r="N342">
        <v>133</v>
      </c>
      <c r="O342">
        <v>137</v>
      </c>
      <c r="P342">
        <v>138</v>
      </c>
      <c r="Q342" s="311"/>
      <c r="U342" s="4"/>
      <c r="Y342" s="4"/>
      <c r="Z342">
        <f t="shared" si="54"/>
        <v>0</v>
      </c>
      <c r="AA342">
        <f t="shared" si="55"/>
        <v>127.5</v>
      </c>
      <c r="AB342">
        <f t="shared" si="56"/>
        <v>127.5</v>
      </c>
      <c r="AC342" s="24"/>
      <c r="AD342">
        <f t="shared" si="57"/>
        <v>255</v>
      </c>
      <c r="AE342">
        <f t="shared" si="58"/>
        <v>0</v>
      </c>
      <c r="AF342">
        <f t="shared" si="59"/>
        <v>0</v>
      </c>
      <c r="AG342" s="5"/>
      <c r="AH342">
        <f t="shared" si="51"/>
        <v>255</v>
      </c>
      <c r="AI342">
        <f t="shared" si="52"/>
        <v>255</v>
      </c>
      <c r="AJ342">
        <f t="shared" si="53"/>
        <v>0</v>
      </c>
      <c r="AK342" s="9"/>
      <c r="AL342">
        <f>SQRT((2+(($AL$3+Table4[[#This Row],[Red]])/2)/256)*($AL$3-Table4[[#This Row],[Red]])^2 + 4*($AM$3-Table4[[#This Row],[Green]])^2 + (2+(255-(($AL$3+Table4[[#This Row],[Red]])/2))/256 )*($AN$3-Table4[[#This Row],[Blue]])^2)</f>
        <v>557.10136217242814</v>
      </c>
      <c r="AM342">
        <f>SQRT((2+(($AO$3+Table4[[#This Row],[Red2]])/2)/256)*($AO$3-Table4[[#This Row],[Red2]])^2 + 4*($AP$3-Table4[[#This Row],[Green2]])^2 + (2+(255-(($AO$3+Table4[[#This Row],[Red2]])/2))/256 )*($AQ$3-Table4[[#This Row],[Blue2]])^2)</f>
        <v>363.95983530981823</v>
      </c>
      <c r="AN342">
        <f>SQRT(Table4[[#This Row],[diffPrimary]]^2+Table4[[#This Row],[diffSecondary]]^2)</f>
        <v>665.45374704266635</v>
      </c>
      <c r="AO342" s="2">
        <f>SQRT((2+(($AL$3+Table4[[#This Row],[Red2]])/2)/256)*($AL$3-Table4[[#This Row],[Red2]])^2 + 4*($AM$3-Table4[[#This Row],[Green2]])^2 + (2+(255-(($AL$3+Table4[[#This Row],[Red2]])/2))/256 )*($AN$3-Table4[[#This Row],[Blue2]])^2)</f>
        <v>412.31876226864819</v>
      </c>
      <c r="AP342" s="2">
        <f>SQRT((2+(($AO$3+Table4[[#This Row],[Red]])/2)/256)*($AO$3-Table4[[#This Row],[Red]])^2 + 4*($AP$3-Table4[[#This Row],[Green]])^2 + (2+(255-(($AO$3+Table4[[#This Row],[Red]])/2))/256 )*($AQ$3-Table4[[#This Row],[Blue]])^2)</f>
        <v>360.41206885313926</v>
      </c>
      <c r="AQ342" s="2">
        <f>SQRT(Table4[[#This Row],[diffPrimary2]]^2+Table4[[#This Row],[diffSecondary2]]^2)</f>
        <v>547.6345689360287</v>
      </c>
      <c r="AR342" s="786">
        <f>MIN(Table4[[#This Row],[MinOrig]],Table4[[#This Row],[MinSwap]])</f>
        <v>547.6345689360287</v>
      </c>
      <c r="AS342" s="2">
        <v>51.2079095453036</v>
      </c>
      <c r="AX342" s="4"/>
    </row>
    <row r="343" spans="1:50" x14ac:dyDescent="0.25">
      <c r="A343" t="s">
        <v>16</v>
      </c>
      <c r="B343">
        <v>255</v>
      </c>
      <c r="C343">
        <v>199</v>
      </c>
      <c r="D343">
        <v>44</v>
      </c>
      <c r="E343" s="68"/>
      <c r="F343">
        <v>211</v>
      </c>
      <c r="G343">
        <v>188</v>
      </c>
      <c r="H343">
        <v>141</v>
      </c>
      <c r="I343" s="89"/>
      <c r="J343">
        <v>177</v>
      </c>
      <c r="K343">
        <v>179</v>
      </c>
      <c r="L343">
        <v>179</v>
      </c>
      <c r="M343" s="67"/>
      <c r="N343">
        <v>0</v>
      </c>
      <c r="O343">
        <v>0</v>
      </c>
      <c r="P343">
        <v>0</v>
      </c>
      <c r="Q343" s="4"/>
      <c r="R343">
        <v>255</v>
      </c>
      <c r="S343">
        <v>255</v>
      </c>
      <c r="T343">
        <v>255</v>
      </c>
      <c r="U343" s="3"/>
      <c r="Y343" s="4"/>
      <c r="Z343">
        <f t="shared" si="54"/>
        <v>255</v>
      </c>
      <c r="AA343">
        <f t="shared" si="55"/>
        <v>255</v>
      </c>
      <c r="AB343">
        <f t="shared" si="56"/>
        <v>0</v>
      </c>
      <c r="AC343" s="9"/>
      <c r="AD343">
        <f t="shared" si="57"/>
        <v>255</v>
      </c>
      <c r="AE343">
        <f t="shared" si="58"/>
        <v>127.5</v>
      </c>
      <c r="AF343">
        <f t="shared" si="59"/>
        <v>127.5</v>
      </c>
      <c r="AG343" s="25"/>
      <c r="AH343">
        <f t="shared" si="51"/>
        <v>127.5</v>
      </c>
      <c r="AI343">
        <f t="shared" si="52"/>
        <v>127.5</v>
      </c>
      <c r="AJ343">
        <f t="shared" si="53"/>
        <v>127.5</v>
      </c>
      <c r="AK343" s="32"/>
      <c r="AL343">
        <f>SQRT((2+(($AL$3+Table4[[#This Row],[Red]])/2)/256)*($AL$3-Table4[[#This Row],[Red]])^2 + 4*($AM$3-Table4[[#This Row],[Green]])^2 + (2+(255-(($AL$3+Table4[[#This Row],[Red]])/2))/256 )*($AN$3-Table4[[#This Row],[Blue]])^2)</f>
        <v>63.371918071019437</v>
      </c>
      <c r="AM343">
        <f>SQRT((2+(($AO$3+Table4[[#This Row],[Red2]])/2)/256)*($AO$3-Table4[[#This Row],[Red2]])^2 + 4*($AP$3-Table4[[#This Row],[Green2]])^2 + (2+(255-(($AO$3+Table4[[#This Row],[Red2]])/2))/256 )*($AQ$3-Table4[[#This Row],[Blue2]])^2)</f>
        <v>547.84825895839992</v>
      </c>
      <c r="AN343">
        <f>SQRT(Table4[[#This Row],[diffPrimary]]^2+Table4[[#This Row],[diffSecondary]]^2)</f>
        <v>551.50132805257147</v>
      </c>
      <c r="AO343" s="2">
        <f>SQRT((2+(($AL$3+Table4[[#This Row],[Red2]])/2)/256)*($AL$3-Table4[[#This Row],[Red2]])^2 + 4*($AM$3-Table4[[#This Row],[Green2]])^2 + (2+(255-(($AL$3+Table4[[#This Row],[Red2]])/2))/256 )*($AN$3-Table4[[#This Row],[Blue2]])^2)</f>
        <v>219.68292136053728</v>
      </c>
      <c r="AP343" s="2">
        <f>SQRT((2+(($AO$3+Table4[[#This Row],[Red]])/2)/256)*($AO$3-Table4[[#This Row],[Red]])^2 + 4*($AP$3-Table4[[#This Row],[Green]])^2 + (2+(255-(($AO$3+Table4[[#This Row],[Red]])/2))/256 )*($AQ$3-Table4[[#This Row],[Blue]])^2)</f>
        <v>570.68004765969783</v>
      </c>
      <c r="AQ343" s="2">
        <f>SQRT(Table4[[#This Row],[diffPrimary2]]^2+Table4[[#This Row],[diffSecondary2]]^2)</f>
        <v>611.50331375584142</v>
      </c>
      <c r="AR343" s="786">
        <f>MIN(Table4[[#This Row],[MinOrig]],Table4[[#This Row],[MinSwap]])</f>
        <v>551.50132805257147</v>
      </c>
      <c r="AS343" s="2">
        <v>119.130820293281</v>
      </c>
      <c r="AX343" s="4"/>
    </row>
    <row r="344" spans="1:50" x14ac:dyDescent="0.25">
      <c r="A344" t="s">
        <v>143</v>
      </c>
      <c r="B344">
        <v>105</v>
      </c>
      <c r="C344">
        <v>179</v>
      </c>
      <c r="D344">
        <v>231</v>
      </c>
      <c r="E344" s="332"/>
      <c r="F344">
        <v>255</v>
      </c>
      <c r="G344">
        <v>199</v>
      </c>
      <c r="H344">
        <v>44</v>
      </c>
      <c r="I344" s="68"/>
      <c r="J344">
        <v>255</v>
      </c>
      <c r="K344">
        <v>255</v>
      </c>
      <c r="L344">
        <v>255</v>
      </c>
      <c r="M344" s="3"/>
      <c r="Q344" s="4"/>
      <c r="U344" s="4"/>
      <c r="Y344" s="4"/>
      <c r="Z344">
        <f t="shared" si="54"/>
        <v>127.5</v>
      </c>
      <c r="AA344">
        <f t="shared" si="55"/>
        <v>127.5</v>
      </c>
      <c r="AB344">
        <f t="shared" si="56"/>
        <v>255</v>
      </c>
      <c r="AC344" s="37"/>
      <c r="AD344">
        <f t="shared" si="57"/>
        <v>255</v>
      </c>
      <c r="AE344">
        <f t="shared" si="58"/>
        <v>255</v>
      </c>
      <c r="AF344">
        <f t="shared" si="59"/>
        <v>0</v>
      </c>
      <c r="AG344" s="9"/>
      <c r="AH344">
        <f t="shared" si="51"/>
        <v>255</v>
      </c>
      <c r="AI344">
        <f t="shared" si="52"/>
        <v>255</v>
      </c>
      <c r="AJ344">
        <f t="shared" si="53"/>
        <v>255</v>
      </c>
      <c r="AK344" s="3"/>
      <c r="AL344">
        <f>SQRT((2+(($AL$3+Table4[[#This Row],[Red]])/2)/256)*($AL$3-Table4[[#This Row],[Red]])^2 + 4*($AM$3-Table4[[#This Row],[Green]])^2 + (2+(255-(($AL$3+Table4[[#This Row],[Red]])/2))/256 )*($AN$3-Table4[[#This Row],[Blue]])^2)</f>
        <v>431.13735394738183</v>
      </c>
      <c r="AM344">
        <f>SQRT((2+(($AO$3+Table4[[#This Row],[Red2]])/2)/256)*($AO$3-Table4[[#This Row],[Red2]])^2 + 4*($AP$3-Table4[[#This Row],[Green2]])^2 + (2+(255-(($AO$3+Table4[[#This Row],[Red2]])/2))/256 )*($AQ$3-Table4[[#This Row],[Blue2]])^2)</f>
        <v>570.68004765969783</v>
      </c>
      <c r="AN344">
        <f>SQRT(Table4[[#This Row],[diffPrimary]]^2+Table4[[#This Row],[diffSecondary]]^2)</f>
        <v>715.23082621320577</v>
      </c>
      <c r="AO344" s="2">
        <f>SQRT((2+(($AL$3+Table4[[#This Row],[Red2]])/2)/256)*($AL$3-Table4[[#This Row],[Red2]])^2 + 4*($AM$3-Table4[[#This Row],[Green2]])^2 + (2+(255-(($AL$3+Table4[[#This Row],[Red2]])/2))/256 )*($AN$3-Table4[[#This Row],[Blue2]])^2)</f>
        <v>63.371918071019437</v>
      </c>
      <c r="AP344" s="2">
        <f>SQRT((2+(($AO$3+Table4[[#This Row],[Red]])/2)/256)*($AO$3-Table4[[#This Row],[Red]])^2 + 4*($AP$3-Table4[[#This Row],[Green]])^2 + (2+(255-(($AO$3+Table4[[#This Row],[Red]])/2))/256 )*($AQ$3-Table4[[#This Row],[Blue]])^2)</f>
        <v>549.00489168471893</v>
      </c>
      <c r="AQ344" s="2">
        <f>SQRT(Table4[[#This Row],[diffPrimary2]]^2+Table4[[#This Row],[diffSecondary2]]^2)</f>
        <v>552.6503153837424</v>
      </c>
      <c r="AR344" s="786">
        <f>MIN(Table4[[#This Row],[MinOrig]],Table4[[#This Row],[MinSwap]])</f>
        <v>552.6503153837424</v>
      </c>
      <c r="AS344" s="2">
        <v>32.3564437651142</v>
      </c>
      <c r="AX344" s="4"/>
    </row>
    <row r="345" spans="1:50" x14ac:dyDescent="0.25">
      <c r="A345" t="s">
        <v>267</v>
      </c>
      <c r="B345">
        <v>88</v>
      </c>
      <c r="C345">
        <v>182</v>
      </c>
      <c r="D345">
        <v>231</v>
      </c>
      <c r="E345" s="496"/>
      <c r="F345">
        <v>255</v>
      </c>
      <c r="G345">
        <v>206</v>
      </c>
      <c r="H345">
        <v>52</v>
      </c>
      <c r="I345" s="497"/>
      <c r="M345" s="4"/>
      <c r="Q345" s="4"/>
      <c r="U345" s="4"/>
      <c r="Y345" s="4"/>
      <c r="Z345">
        <f t="shared" si="54"/>
        <v>127.5</v>
      </c>
      <c r="AA345">
        <f t="shared" si="55"/>
        <v>127.5</v>
      </c>
      <c r="AB345">
        <f t="shared" si="56"/>
        <v>255</v>
      </c>
      <c r="AC345" s="37"/>
      <c r="AD345">
        <f t="shared" si="57"/>
        <v>255</v>
      </c>
      <c r="AE345">
        <f t="shared" si="58"/>
        <v>255</v>
      </c>
      <c r="AF345">
        <f t="shared" si="59"/>
        <v>0</v>
      </c>
      <c r="AG345" s="9"/>
      <c r="AH345">
        <f t="shared" si="51"/>
        <v>0</v>
      </c>
      <c r="AI345">
        <f t="shared" si="52"/>
        <v>0</v>
      </c>
      <c r="AJ345">
        <f t="shared" si="53"/>
        <v>0</v>
      </c>
      <c r="AK345" s="4"/>
      <c r="AL345">
        <f>SQRT((2+(($AL$3+Table4[[#This Row],[Red]])/2)/256)*($AL$3-Table4[[#This Row],[Red]])^2 + 4*($AM$3-Table4[[#This Row],[Green]])^2 + (2+(255-(($AL$3+Table4[[#This Row],[Red]])/2))/256 )*($AN$3-Table4[[#This Row],[Blue]])^2)</f>
        <v>448.00034441253501</v>
      </c>
      <c r="AM345">
        <f>SQRT((2+(($AO$3+Table4[[#This Row],[Red2]])/2)/256)*($AO$3-Table4[[#This Row],[Red2]])^2 + 4*($AP$3-Table4[[#This Row],[Green2]])^2 + (2+(255-(($AO$3+Table4[[#This Row],[Red2]])/2))/256 )*($AQ$3-Table4[[#This Row],[Blue2]])^2)</f>
        <v>582.180570610936</v>
      </c>
      <c r="AN345">
        <f>SQRT(Table4[[#This Row],[diffPrimary]]^2+Table4[[#This Row],[diffSecondary]]^2)</f>
        <v>734.60092934233683</v>
      </c>
      <c r="AO345" s="2">
        <f>SQRT((2+(($AL$3+Table4[[#This Row],[Red2]])/2)/256)*($AL$3-Table4[[#This Row],[Red2]])^2 + 4*($AM$3-Table4[[#This Row],[Green2]])^2 + (2+(255-(($AL$3+Table4[[#This Row],[Red2]])/2))/256 )*($AN$3-Table4[[#This Row],[Blue2]])^2)</f>
        <v>73.566296630998082</v>
      </c>
      <c r="AP345" s="2">
        <f>SQRT((2+(($AO$3+Table4[[#This Row],[Red]])/2)/256)*($AO$3-Table4[[#This Row],[Red]])^2 + 4*($AP$3-Table4[[#This Row],[Green]])^2 + (2+(255-(($AO$3+Table4[[#This Row],[Red]])/2))/256 )*($AQ$3-Table4[[#This Row],[Blue]])^2)</f>
        <v>547.73911373823762</v>
      </c>
      <c r="AQ345" s="2">
        <f>SQRT(Table4[[#This Row],[diffPrimary2]]^2+Table4[[#This Row],[diffSecondary2]]^2)</f>
        <v>552.65734114254735</v>
      </c>
      <c r="AR345" s="786">
        <f>MIN(Table4[[#This Row],[MinOrig]],Table4[[#This Row],[MinSwap]])</f>
        <v>552.65734114254735</v>
      </c>
      <c r="AS345" s="2">
        <v>32.3564437651142</v>
      </c>
      <c r="AX345" s="4"/>
    </row>
    <row r="346" spans="1:50" x14ac:dyDescent="0.25">
      <c r="A346" t="s">
        <v>318</v>
      </c>
      <c r="B346">
        <v>0</v>
      </c>
      <c r="C346">
        <v>32</v>
      </c>
      <c r="D346">
        <v>91</v>
      </c>
      <c r="E346" s="98"/>
      <c r="F346">
        <v>19</v>
      </c>
      <c r="G346">
        <v>181</v>
      </c>
      <c r="H346">
        <v>234</v>
      </c>
      <c r="I346" s="614"/>
      <c r="J346">
        <v>139</v>
      </c>
      <c r="K346">
        <v>99</v>
      </c>
      <c r="L346">
        <v>75</v>
      </c>
      <c r="M346" s="615"/>
      <c r="N346">
        <v>255</v>
      </c>
      <c r="O346">
        <v>255</v>
      </c>
      <c r="P346">
        <v>255</v>
      </c>
      <c r="Q346" s="3"/>
      <c r="U346" s="4"/>
      <c r="Y346" s="4"/>
      <c r="Z346">
        <f t="shared" si="54"/>
        <v>0</v>
      </c>
      <c r="AA346">
        <f t="shared" si="55"/>
        <v>0</v>
      </c>
      <c r="AB346">
        <f t="shared" si="56"/>
        <v>127.5</v>
      </c>
      <c r="AC346" s="26"/>
      <c r="AD346">
        <f t="shared" si="57"/>
        <v>0</v>
      </c>
      <c r="AE346">
        <f t="shared" si="58"/>
        <v>127.5</v>
      </c>
      <c r="AF346">
        <f t="shared" si="59"/>
        <v>255</v>
      </c>
      <c r="AG346" s="36"/>
      <c r="AH346">
        <f t="shared" si="51"/>
        <v>127.5</v>
      </c>
      <c r="AI346">
        <f t="shared" si="52"/>
        <v>127.5</v>
      </c>
      <c r="AJ346">
        <f t="shared" si="53"/>
        <v>127.5</v>
      </c>
      <c r="AK346" s="32"/>
      <c r="AL346">
        <f>SQRT((2+(($AL$3+Table4[[#This Row],[Red]])/2)/256)*($AL$3-Table4[[#This Row],[Red]])^2 + 4*($AM$3-Table4[[#This Row],[Green]])^2 + (2+(255-(($AL$3+Table4[[#This Row],[Red]])/2))/256 )*($AN$3-Table4[[#This Row],[Blue]])^2)</f>
        <v>550.3070272300273</v>
      </c>
      <c r="AM346">
        <f>SQRT((2+(($AO$3+Table4[[#This Row],[Red2]])/2)/256)*($AO$3-Table4[[#This Row],[Red2]])^2 + 4*($AP$3-Table4[[#This Row],[Green2]])^2 + (2+(255-(($AO$3+Table4[[#This Row],[Red2]])/2))/256 )*($AQ$3-Table4[[#This Row],[Blue2]])^2)</f>
        <v>542.03463443019484</v>
      </c>
      <c r="AN346">
        <f>SQRT(Table4[[#This Row],[diffPrimary]]^2+Table4[[#This Row],[diffSecondary]]^2)</f>
        <v>772.42434525371152</v>
      </c>
      <c r="AO346" s="2">
        <f>SQRT((2+(($AL$3+Table4[[#This Row],[Red2]])/2)/256)*($AL$3-Table4[[#This Row],[Red2]])^2 + 4*($AM$3-Table4[[#This Row],[Green2]])^2 + (2+(255-(($AL$3+Table4[[#This Row],[Red2]])/2))/256 )*($AN$3-Table4[[#This Row],[Blue2]])^2)</f>
        <v>527.49706752739394</v>
      </c>
      <c r="AP346" s="2">
        <f>SQRT((2+(($AO$3+Table4[[#This Row],[Red]])/2)/256)*($AO$3-Table4[[#This Row],[Red]])^2 + 4*($AP$3-Table4[[#This Row],[Green]])^2 + (2+(255-(($AO$3+Table4[[#This Row],[Red]])/2))/256 )*($AQ$3-Table4[[#This Row],[Blue]])^2)</f>
        <v>170.01956459110815</v>
      </c>
      <c r="AQ346" s="2">
        <f>SQRT(Table4[[#This Row],[diffPrimary2]]^2+Table4[[#This Row],[diffSecondary2]]^2)</f>
        <v>554.22000017479525</v>
      </c>
      <c r="AR346" s="786">
        <f>MIN(Table4[[#This Row],[MinOrig]],Table4[[#This Row],[MinSwap]])</f>
        <v>554.22000017479525</v>
      </c>
      <c r="AS346" s="2">
        <v>93.945722777170602</v>
      </c>
      <c r="AX346" s="4"/>
    </row>
    <row r="347" spans="1:50" x14ac:dyDescent="0.25">
      <c r="A347" t="s">
        <v>168</v>
      </c>
      <c r="B347">
        <v>0</v>
      </c>
      <c r="C347">
        <v>0</v>
      </c>
      <c r="D347">
        <v>0</v>
      </c>
      <c r="E347" s="4"/>
      <c r="F347">
        <v>0</v>
      </c>
      <c r="G347">
        <v>102</v>
      </c>
      <c r="H347">
        <v>204</v>
      </c>
      <c r="I347" s="136"/>
      <c r="J347">
        <v>105</v>
      </c>
      <c r="K347">
        <v>179</v>
      </c>
      <c r="L347">
        <v>231</v>
      </c>
      <c r="M347" s="332"/>
      <c r="Q347" s="4"/>
      <c r="U347" s="4"/>
      <c r="Y347" s="4"/>
      <c r="Z347">
        <f t="shared" si="54"/>
        <v>0</v>
      </c>
      <c r="AA347">
        <f t="shared" si="55"/>
        <v>0</v>
      </c>
      <c r="AB347">
        <f t="shared" si="56"/>
        <v>0</v>
      </c>
      <c r="AC347" s="4"/>
      <c r="AD347">
        <f t="shared" si="57"/>
        <v>0</v>
      </c>
      <c r="AE347">
        <f t="shared" si="58"/>
        <v>127.5</v>
      </c>
      <c r="AF347">
        <f t="shared" si="59"/>
        <v>255</v>
      </c>
      <c r="AG347" s="36"/>
      <c r="AH347">
        <f t="shared" si="51"/>
        <v>127.5</v>
      </c>
      <c r="AI347">
        <f t="shared" si="52"/>
        <v>127.5</v>
      </c>
      <c r="AJ347">
        <f t="shared" si="53"/>
        <v>255</v>
      </c>
      <c r="AK347" s="37"/>
      <c r="AL347">
        <f>SQRT((2+(($AL$3+Table4[[#This Row],[Red]])/2)/256)*($AL$3-Table4[[#This Row],[Red]])^2 + 4*($AM$3-Table4[[#This Row],[Green]])^2 + (2+(255-(($AL$3+Table4[[#This Row],[Red]])/2))/256 )*($AN$3-Table4[[#This Row],[Blue]])^2)</f>
        <v>574.92216694686158</v>
      </c>
      <c r="AM347">
        <f>SQRT((2+(($AO$3+Table4[[#This Row],[Red2]])/2)/256)*($AO$3-Table4[[#This Row],[Red2]])^2 + 4*($AP$3-Table4[[#This Row],[Green2]])^2 + (2+(255-(($AO$3+Table4[[#This Row],[Red2]])/2))/256 )*($AQ$3-Table4[[#This Row],[Blue2]])^2)</f>
        <v>407.80073258884664</v>
      </c>
      <c r="AN347">
        <f>SQRT(Table4[[#This Row],[diffPrimary]]^2+Table4[[#This Row],[diffSecondary]]^2)</f>
        <v>704.86660833584324</v>
      </c>
      <c r="AO347" s="2">
        <f>SQRT((2+(($AL$3+Table4[[#This Row],[Red2]])/2)/256)*($AL$3-Table4[[#This Row],[Red2]])^2 + 4*($AM$3-Table4[[#This Row],[Green2]])^2 + (2+(255-(($AL$3+Table4[[#This Row],[Red2]])/2))/256 )*($AN$3-Table4[[#This Row],[Blue2]])^2)</f>
        <v>555.72494707082842</v>
      </c>
      <c r="AP347" s="2">
        <f>SQRT((2+(($AO$3+Table4[[#This Row],[Red]])/2)/256)*($AO$3-Table4[[#This Row],[Red]])^2 + 4*($AP$3-Table4[[#This Row],[Green]])^2 + (2+(255-(($AO$3+Table4[[#This Row],[Red]])/2))/256 )*($AQ$3-Table4[[#This Row],[Blue]])^2)</f>
        <v>0</v>
      </c>
      <c r="AQ347" s="2">
        <f>SQRT(Table4[[#This Row],[diffPrimary2]]^2+Table4[[#This Row],[diffSecondary2]]^2)</f>
        <v>555.72494707082842</v>
      </c>
      <c r="AR347" s="786">
        <f>MIN(Table4[[#This Row],[MinOrig]],Table4[[#This Row],[MinSwap]])</f>
        <v>555.72494707082842</v>
      </c>
      <c r="AS347" s="2">
        <v>176.55412590760901</v>
      </c>
      <c r="AX347" s="4"/>
    </row>
    <row r="348" spans="1:50" x14ac:dyDescent="0.25">
      <c r="A348" t="s">
        <v>69</v>
      </c>
      <c r="B348">
        <v>0</v>
      </c>
      <c r="C348">
        <v>94</v>
      </c>
      <c r="D348">
        <v>184</v>
      </c>
      <c r="E348" s="216"/>
      <c r="F348">
        <v>228</v>
      </c>
      <c r="G348">
        <v>0</v>
      </c>
      <c r="H348">
        <v>43</v>
      </c>
      <c r="I348" s="121"/>
      <c r="M348" s="4"/>
      <c r="Q348" s="4"/>
      <c r="U348" s="4"/>
      <c r="Y348" s="4"/>
      <c r="Z348">
        <f t="shared" si="54"/>
        <v>0</v>
      </c>
      <c r="AA348">
        <f t="shared" si="55"/>
        <v>127.5</v>
      </c>
      <c r="AB348">
        <f t="shared" si="56"/>
        <v>127.5</v>
      </c>
      <c r="AC348" s="24"/>
      <c r="AD348">
        <f t="shared" si="57"/>
        <v>255</v>
      </c>
      <c r="AE348">
        <f t="shared" si="58"/>
        <v>0</v>
      </c>
      <c r="AF348">
        <f t="shared" si="59"/>
        <v>0</v>
      </c>
      <c r="AG348" s="5"/>
      <c r="AH348">
        <f t="shared" si="51"/>
        <v>0</v>
      </c>
      <c r="AI348">
        <f t="shared" si="52"/>
        <v>0</v>
      </c>
      <c r="AJ348">
        <f t="shared" si="53"/>
        <v>0</v>
      </c>
      <c r="AK348" s="4"/>
      <c r="AL348">
        <f>SQRT((2+(($AL$3+Table4[[#This Row],[Red]])/2)/256)*($AL$3-Table4[[#This Row],[Red]])^2 + 4*($AM$3-Table4[[#This Row],[Green]])^2 + (2+(255-(($AL$3+Table4[[#This Row],[Red]])/2))/256 )*($AN$3-Table4[[#This Row],[Blue]])^2)</f>
        <v>544.328368769142</v>
      </c>
      <c r="AM348">
        <f>SQRT((2+(($AO$3+Table4[[#This Row],[Red2]])/2)/256)*($AO$3-Table4[[#This Row],[Red2]])^2 + 4*($AP$3-Table4[[#This Row],[Green2]])^2 + (2+(255-(($AO$3+Table4[[#This Row],[Red2]])/2))/256 )*($AQ$3-Table4[[#This Row],[Blue2]])^2)</f>
        <v>363.08885900182889</v>
      </c>
      <c r="AN348">
        <f>SQRT(Table4[[#This Row],[diffPrimary]]^2+Table4[[#This Row],[diffSecondary]]^2)</f>
        <v>654.31406264738416</v>
      </c>
      <c r="AO348" s="2">
        <f>SQRT((2+(($AL$3+Table4[[#This Row],[Red2]])/2)/256)*($AL$3-Table4[[#This Row],[Red2]])^2 + 4*($AM$3-Table4[[#This Row],[Green2]])^2 + (2+(255-(($AL$3+Table4[[#This Row],[Red2]])/2))/256 )*($AN$3-Table4[[#This Row],[Blue2]])^2)</f>
        <v>417.18247187981183</v>
      </c>
      <c r="AP348" s="2">
        <f>SQRT((2+(($AO$3+Table4[[#This Row],[Red]])/2)/256)*($AO$3-Table4[[#This Row],[Red]])^2 + 4*($AP$3-Table4[[#This Row],[Green]])^2 + (2+(255-(($AO$3+Table4[[#This Row],[Red]])/2))/256 )*($AQ$3-Table4[[#This Row],[Blue]])^2)</f>
        <v>369.83746430019767</v>
      </c>
      <c r="AQ348" s="2">
        <f>SQRT(Table4[[#This Row],[diffPrimary2]]^2+Table4[[#This Row],[diffSecondary2]]^2)</f>
        <v>557.51319701308421</v>
      </c>
      <c r="AR348" s="786">
        <f>MIN(Table4[[#This Row],[MinOrig]],Table4[[#This Row],[MinSwap]])</f>
        <v>557.51319701308421</v>
      </c>
      <c r="AS348" s="2">
        <v>51.2079095453036</v>
      </c>
      <c r="AX348" s="4"/>
    </row>
    <row r="349" spans="1:50" x14ac:dyDescent="0.25">
      <c r="A349" t="s">
        <v>62</v>
      </c>
      <c r="B349">
        <v>0</v>
      </c>
      <c r="C349">
        <v>93</v>
      </c>
      <c r="D349">
        <v>170</v>
      </c>
      <c r="E349" s="59"/>
      <c r="F349">
        <v>0</v>
      </c>
      <c r="G349">
        <v>36</v>
      </c>
      <c r="H349">
        <v>93</v>
      </c>
      <c r="I349" s="198"/>
      <c r="J349">
        <v>108</v>
      </c>
      <c r="K349">
        <v>173</v>
      </c>
      <c r="L349">
        <v>223</v>
      </c>
      <c r="M349" s="199"/>
      <c r="N349">
        <v>130</v>
      </c>
      <c r="O349">
        <v>130</v>
      </c>
      <c r="P349">
        <v>130</v>
      </c>
      <c r="Q349" s="200"/>
      <c r="R349">
        <v>200</v>
      </c>
      <c r="S349">
        <v>200</v>
      </c>
      <c r="T349">
        <v>200</v>
      </c>
      <c r="U349" s="201"/>
      <c r="V349">
        <v>138</v>
      </c>
      <c r="W349">
        <v>141</v>
      </c>
      <c r="X349">
        <v>143</v>
      </c>
      <c r="Y349" s="66"/>
      <c r="Z349">
        <f t="shared" si="54"/>
        <v>0</v>
      </c>
      <c r="AA349">
        <f t="shared" si="55"/>
        <v>127.5</v>
      </c>
      <c r="AB349">
        <f t="shared" si="56"/>
        <v>127.5</v>
      </c>
      <c r="AC349" s="24"/>
      <c r="AD349">
        <f t="shared" si="57"/>
        <v>0</v>
      </c>
      <c r="AE349">
        <f t="shared" si="58"/>
        <v>0</v>
      </c>
      <c r="AF349">
        <f t="shared" si="59"/>
        <v>127.5</v>
      </c>
      <c r="AG349" s="26"/>
      <c r="AH349">
        <f t="shared" si="51"/>
        <v>127.5</v>
      </c>
      <c r="AI349">
        <f t="shared" si="52"/>
        <v>127.5</v>
      </c>
      <c r="AJ349">
        <f t="shared" si="53"/>
        <v>255</v>
      </c>
      <c r="AK349" s="37"/>
      <c r="AL349">
        <f>SQRT((2+(($AL$3+Table4[[#This Row],[Red]])/2)/256)*($AL$3-Table4[[#This Row],[Red]])^2 + 4*($AM$3-Table4[[#This Row],[Green]])^2 + (2+(255-(($AL$3+Table4[[#This Row],[Red]])/2))/256 )*($AN$3-Table4[[#This Row],[Blue]])^2)</f>
        <v>533.67129652471942</v>
      </c>
      <c r="AM349">
        <f>SQRT((2+(($AO$3+Table4[[#This Row],[Red2]])/2)/256)*($AO$3-Table4[[#This Row],[Red2]])^2 + 4*($AP$3-Table4[[#This Row],[Green2]])^2 + (2+(255-(($AO$3+Table4[[#This Row],[Red2]])/2))/256 )*($AQ$3-Table4[[#This Row],[Blue2]])^2)</f>
        <v>176.34402412259396</v>
      </c>
      <c r="AN349">
        <f>SQRT(Table4[[#This Row],[diffPrimary]]^2+Table4[[#This Row],[diffSecondary]]^2)</f>
        <v>562.05183709167341</v>
      </c>
      <c r="AO349" s="2">
        <f>SQRT((2+(($AL$3+Table4[[#This Row],[Red2]])/2)/256)*($AL$3-Table4[[#This Row],[Red2]])^2 + 4*($AM$3-Table4[[#This Row],[Green2]])^2 + (2+(255-(($AL$3+Table4[[#This Row],[Red2]])/2))/256 )*($AN$3-Table4[[#This Row],[Blue2]])^2)</f>
        <v>546.15483653333149</v>
      </c>
      <c r="AP349" s="2">
        <f>SQRT((2+(($AO$3+Table4[[#This Row],[Red]])/2)/256)*($AO$3-Table4[[#This Row],[Red]])^2 + 4*($AP$3-Table4[[#This Row],[Green]])^2 + (2+(255-(($AO$3+Table4[[#This Row],[Red]])/2))/256 )*($AQ$3-Table4[[#This Row],[Blue]])^2)</f>
        <v>348.11364433902901</v>
      </c>
      <c r="AQ349" s="2">
        <f>SQRT(Table4[[#This Row],[diffPrimary2]]^2+Table4[[#This Row],[diffSecondary2]]^2)</f>
        <v>647.66365873325799</v>
      </c>
      <c r="AR349" s="786">
        <f>MIN(Table4[[#This Row],[MinOrig]],Table4[[#This Row],[MinSwap]])</f>
        <v>562.05183709167341</v>
      </c>
      <c r="AS349" s="2">
        <v>82.208754380996396</v>
      </c>
      <c r="AX349" s="4"/>
    </row>
    <row r="350" spans="1:50" x14ac:dyDescent="0.25">
      <c r="A350" t="s">
        <v>244</v>
      </c>
      <c r="B350">
        <v>254</v>
      </c>
      <c r="C350">
        <v>81</v>
      </c>
      <c r="D350">
        <v>0</v>
      </c>
      <c r="E350" s="470"/>
      <c r="F350">
        <v>255</v>
      </c>
      <c r="G350">
        <v>255</v>
      </c>
      <c r="H350">
        <v>255</v>
      </c>
      <c r="I350" s="3"/>
      <c r="M350" s="4"/>
      <c r="Q350" s="4"/>
      <c r="U350" s="4"/>
      <c r="Y350" s="4"/>
      <c r="Z350">
        <f t="shared" si="54"/>
        <v>255</v>
      </c>
      <c r="AA350">
        <f t="shared" si="55"/>
        <v>127.5</v>
      </c>
      <c r="AB350">
        <f t="shared" si="56"/>
        <v>0</v>
      </c>
      <c r="AC350" s="28"/>
      <c r="AD350">
        <f t="shared" si="57"/>
        <v>255</v>
      </c>
      <c r="AE350">
        <f t="shared" si="58"/>
        <v>255</v>
      </c>
      <c r="AF350">
        <f t="shared" si="59"/>
        <v>255</v>
      </c>
      <c r="AG350" s="3"/>
      <c r="AH350">
        <f t="shared" si="51"/>
        <v>0</v>
      </c>
      <c r="AI350">
        <f t="shared" si="52"/>
        <v>0</v>
      </c>
      <c r="AJ350">
        <f t="shared" si="53"/>
        <v>0</v>
      </c>
      <c r="AK350" s="4"/>
      <c r="AL350">
        <f>SQRT((2+(($AL$3+Table4[[#This Row],[Red]])/2)/256)*($AL$3-Table4[[#This Row],[Red]])^2 + 4*($AM$3-Table4[[#This Row],[Green]])^2 + (2+(255-(($AL$3+Table4[[#This Row],[Red]])/2))/256 )*($AN$3-Table4[[#This Row],[Blue]])^2)</f>
        <v>248.00603650037431</v>
      </c>
      <c r="AM350">
        <f>SQRT((2+(($AO$3+Table4[[#This Row],[Red2]])/2)/256)*($AO$3-Table4[[#This Row],[Red2]])^2 + 4*($AP$3-Table4[[#This Row],[Green2]])^2 + (2+(255-(($AO$3+Table4[[#This Row],[Red2]])/2))/256 )*($AQ$3-Table4[[#This Row],[Blue2]])^2)</f>
        <v>764.83396635724148</v>
      </c>
      <c r="AN350">
        <f>SQRT(Table4[[#This Row],[diffPrimary]]^2+Table4[[#This Row],[diffSecondary]]^2)</f>
        <v>804.03855021657694</v>
      </c>
      <c r="AO350" s="2">
        <f>SQRT((2+(($AL$3+Table4[[#This Row],[Red2]])/2)/256)*($AL$3-Table4[[#This Row],[Red2]])^2 + 4*($AM$3-Table4[[#This Row],[Green2]])^2 + (2+(255-(($AL$3+Table4[[#This Row],[Red2]])/2))/256 )*($AN$3-Table4[[#This Row],[Blue2]])^2)</f>
        <v>374.23254802328461</v>
      </c>
      <c r="AP350" s="2">
        <f>SQRT((2+(($AO$3+Table4[[#This Row],[Red]])/2)/256)*($AO$3-Table4[[#This Row],[Red]])^2 + 4*($AP$3-Table4[[#This Row],[Green]])^2 + (2+(255-(($AO$3+Table4[[#This Row],[Red]])/2))/256 )*($AQ$3-Table4[[#This Row],[Blue]])^2)</f>
        <v>432.76088591160823</v>
      </c>
      <c r="AQ350" s="2">
        <f>SQRT(Table4[[#This Row],[diffPrimary2]]^2+Table4[[#This Row],[diffSecondary2]]^2)</f>
        <v>572.12934234751503</v>
      </c>
      <c r="AR350" s="786">
        <f>MIN(Table4[[#This Row],[MinOrig]],Table4[[#This Row],[MinSwap]])</f>
        <v>572.12934234751503</v>
      </c>
      <c r="AS350" s="2">
        <v>81.144715439454203</v>
      </c>
      <c r="AX350" s="4"/>
    </row>
    <row r="351" spans="1:50" x14ac:dyDescent="0.25">
      <c r="A351" t="s">
        <v>127</v>
      </c>
      <c r="B351">
        <v>0</v>
      </c>
      <c r="C351">
        <v>45</v>
      </c>
      <c r="D351">
        <v>98</v>
      </c>
      <c r="E351" s="14"/>
      <c r="F351">
        <v>0</v>
      </c>
      <c r="G351">
        <v>142</v>
      </c>
      <c r="H351">
        <v>214</v>
      </c>
      <c r="I351" s="302"/>
      <c r="J351">
        <v>255</v>
      </c>
      <c r="K351">
        <v>255</v>
      </c>
      <c r="L351">
        <v>255</v>
      </c>
      <c r="M351" s="3"/>
      <c r="Q351" s="4"/>
      <c r="U351" s="4"/>
      <c r="Y351" s="4"/>
      <c r="Z351">
        <f t="shared" si="54"/>
        <v>0</v>
      </c>
      <c r="AA351">
        <f t="shared" si="55"/>
        <v>0</v>
      </c>
      <c r="AB351">
        <f t="shared" si="56"/>
        <v>127.5</v>
      </c>
      <c r="AC351" s="26"/>
      <c r="AD351">
        <f t="shared" si="57"/>
        <v>0</v>
      </c>
      <c r="AE351">
        <f t="shared" si="58"/>
        <v>127.5</v>
      </c>
      <c r="AF351">
        <f t="shared" si="59"/>
        <v>255</v>
      </c>
      <c r="AG351" s="36"/>
      <c r="AH351">
        <f t="shared" si="51"/>
        <v>255</v>
      </c>
      <c r="AI351">
        <f t="shared" si="52"/>
        <v>255</v>
      </c>
      <c r="AJ351">
        <f t="shared" si="53"/>
        <v>255</v>
      </c>
      <c r="AK351" s="3"/>
      <c r="AL351">
        <f>SQRT((2+(($AL$3+Table4[[#This Row],[Red]])/2)/256)*($AL$3-Table4[[#This Row],[Red]])^2 + 4*($AM$3-Table4[[#This Row],[Green]])^2 + (2+(255-(($AL$3+Table4[[#This Row],[Red]])/2))/256 )*($AN$3-Table4[[#This Row],[Blue]])^2)</f>
        <v>537.42603233782324</v>
      </c>
      <c r="AM351">
        <f>SQRT((2+(($AO$3+Table4[[#This Row],[Red2]])/2)/256)*($AO$3-Table4[[#This Row],[Red2]])^2 + 4*($AP$3-Table4[[#This Row],[Green2]])^2 + (2+(255-(($AO$3+Table4[[#This Row],[Red2]])/2))/256 )*($AQ$3-Table4[[#This Row],[Blue2]])^2)</f>
        <v>466.76022685635928</v>
      </c>
      <c r="AN351">
        <f>SQRT(Table4[[#This Row],[diffPrimary]]^2+Table4[[#This Row],[diffSecondary]]^2)</f>
        <v>711.82290607241282</v>
      </c>
      <c r="AO351" s="2">
        <f>SQRT((2+(($AL$3+Table4[[#This Row],[Red2]])/2)/256)*($AL$3-Table4[[#This Row],[Red2]])^2 + 4*($AM$3-Table4[[#This Row],[Green2]])^2 + (2+(255-(($AL$3+Table4[[#This Row],[Red2]])/2))/256 )*($AN$3-Table4[[#This Row],[Blue2]])^2)</f>
        <v>541.02869862362661</v>
      </c>
      <c r="AP351" s="2">
        <f>SQRT((2+(($AO$3+Table4[[#This Row],[Red]])/2)/256)*($AO$3-Table4[[#This Row],[Red]])^2 + 4*($AP$3-Table4[[#This Row],[Green]])^2 + (2+(255-(($AO$3+Table4[[#This Row],[Red]])/2))/256 )*($AQ$3-Table4[[#This Row],[Blue]])^2)</f>
        <v>192.02730111887738</v>
      </c>
      <c r="AQ351" s="2">
        <f>SQRT(Table4[[#This Row],[diffPrimary2]]^2+Table4[[#This Row],[diffSecondary2]]^2)</f>
        <v>574.09627860610192</v>
      </c>
      <c r="AR351" s="786">
        <f>MIN(Table4[[#This Row],[MinOrig]],Table4[[#This Row],[MinSwap]])</f>
        <v>574.09627860610192</v>
      </c>
      <c r="AS351" s="2">
        <v>70.013363679728997</v>
      </c>
      <c r="AX351" s="4"/>
    </row>
    <row r="352" spans="1:50" x14ac:dyDescent="0.25">
      <c r="A352" t="s">
        <v>67</v>
      </c>
      <c r="B352">
        <v>238</v>
      </c>
      <c r="C352">
        <v>49</v>
      </c>
      <c r="D352">
        <v>36</v>
      </c>
      <c r="E352" s="211"/>
      <c r="F352">
        <v>114</v>
      </c>
      <c r="G352">
        <v>205</v>
      </c>
      <c r="H352">
        <v>244</v>
      </c>
      <c r="I352" s="212"/>
      <c r="J352">
        <v>0</v>
      </c>
      <c r="K352">
        <v>157</v>
      </c>
      <c r="L352">
        <v>220</v>
      </c>
      <c r="M352" s="213"/>
      <c r="N352">
        <v>35</v>
      </c>
      <c r="O352">
        <v>31</v>
      </c>
      <c r="P352">
        <v>32</v>
      </c>
      <c r="Q352" s="10"/>
      <c r="U352" s="4"/>
      <c r="Y352" s="4"/>
      <c r="Z352">
        <f t="shared" si="54"/>
        <v>255</v>
      </c>
      <c r="AA352">
        <f t="shared" si="55"/>
        <v>0</v>
      </c>
      <c r="AB352">
        <f t="shared" si="56"/>
        <v>0</v>
      </c>
      <c r="AC352" s="5"/>
      <c r="AD352">
        <f t="shared" si="57"/>
        <v>127.5</v>
      </c>
      <c r="AE352">
        <f t="shared" si="58"/>
        <v>255</v>
      </c>
      <c r="AF352">
        <f t="shared" si="59"/>
        <v>255</v>
      </c>
      <c r="AG352" s="35"/>
      <c r="AH352">
        <f t="shared" si="51"/>
        <v>0</v>
      </c>
      <c r="AI352">
        <f t="shared" si="52"/>
        <v>127.5</v>
      </c>
      <c r="AJ352">
        <f t="shared" si="53"/>
        <v>255</v>
      </c>
      <c r="AK352" s="36"/>
      <c r="AL352">
        <f>SQRT((2+(($AL$3+Table4[[#This Row],[Red]])/2)/256)*($AL$3-Table4[[#This Row],[Red]])^2 + 4*($AM$3-Table4[[#This Row],[Green]])^2 + (2+(255-(($AL$3+Table4[[#This Row],[Red]])/2))/256 )*($AN$3-Table4[[#This Row],[Blue]])^2)</f>
        <v>317.54575519226358</v>
      </c>
      <c r="AM352">
        <f>SQRT((2+(($AO$3+Table4[[#This Row],[Red2]])/2)/256)*($AO$3-Table4[[#This Row],[Red2]])^2 + 4*($AP$3-Table4[[#This Row],[Green2]])^2 + (2+(255-(($AO$3+Table4[[#This Row],[Red2]])/2))/256 )*($AQ$3-Table4[[#This Row],[Blue2]])^2)</f>
        <v>601.75162286860518</v>
      </c>
      <c r="AN352">
        <f>SQRT(Table4[[#This Row],[diffPrimary]]^2+Table4[[#This Row],[diffSecondary]]^2)</f>
        <v>680.39717978958811</v>
      </c>
      <c r="AO352" s="2">
        <f>SQRT((2+(($AL$3+Table4[[#This Row],[Red2]])/2)/256)*($AL$3-Table4[[#This Row],[Red2]])^2 + 4*($AM$3-Table4[[#This Row],[Green2]])^2 + (2+(255-(($AL$3+Table4[[#This Row],[Red2]])/2))/256 )*($AN$3-Table4[[#This Row],[Blue2]])^2)</f>
        <v>435.38253878414213</v>
      </c>
      <c r="AP352" s="2">
        <f>SQRT((2+(($AO$3+Table4[[#This Row],[Red]])/2)/256)*($AO$3-Table4[[#This Row],[Red]])^2 + 4*($AP$3-Table4[[#This Row],[Green]])^2 + (2+(255-(($AO$3+Table4[[#This Row],[Red]])/2))/256 )*($AQ$3-Table4[[#This Row],[Blue]])^2)</f>
        <v>390.51646492177508</v>
      </c>
      <c r="AQ352" s="2">
        <f>SQRT(Table4[[#This Row],[diffPrimary2]]^2+Table4[[#This Row],[diffSecondary2]]^2)</f>
        <v>584.85986736407642</v>
      </c>
      <c r="AR352" s="786">
        <f>MIN(Table4[[#This Row],[MinOrig]],Table4[[#This Row],[MinSwap]])</f>
        <v>584.85986736407642</v>
      </c>
      <c r="AS352" s="2">
        <v>154.58563565221701</v>
      </c>
      <c r="AX352" s="4"/>
    </row>
    <row r="353" spans="1:50" x14ac:dyDescent="0.25">
      <c r="A353" t="s">
        <v>273</v>
      </c>
      <c r="B353">
        <v>0</v>
      </c>
      <c r="C353">
        <v>60</v>
      </c>
      <c r="D353">
        <v>113</v>
      </c>
      <c r="E353" s="455"/>
      <c r="F353">
        <v>0</v>
      </c>
      <c r="G353">
        <v>114</v>
      </c>
      <c r="H353">
        <v>206</v>
      </c>
      <c r="I353" s="517"/>
      <c r="J353">
        <v>165</v>
      </c>
      <c r="K353">
        <v>156</v>
      </c>
      <c r="L353">
        <v>148</v>
      </c>
      <c r="M353" s="518"/>
      <c r="N353">
        <v>0</v>
      </c>
      <c r="O353">
        <v>0</v>
      </c>
      <c r="P353">
        <v>0</v>
      </c>
      <c r="Q353" s="4"/>
      <c r="R353">
        <v>255</v>
      </c>
      <c r="S353">
        <v>255</v>
      </c>
      <c r="T353">
        <v>255</v>
      </c>
      <c r="U353" s="3"/>
      <c r="Y353" s="4"/>
      <c r="Z353">
        <f t="shared" si="54"/>
        <v>0</v>
      </c>
      <c r="AA353">
        <f t="shared" si="55"/>
        <v>0</v>
      </c>
      <c r="AB353">
        <f t="shared" si="56"/>
        <v>127.5</v>
      </c>
      <c r="AC353" s="26"/>
      <c r="AD353">
        <f t="shared" si="57"/>
        <v>0</v>
      </c>
      <c r="AE353">
        <f t="shared" si="58"/>
        <v>127.5</v>
      </c>
      <c r="AF353">
        <f t="shared" si="59"/>
        <v>255</v>
      </c>
      <c r="AG353" s="36"/>
      <c r="AH353">
        <f t="shared" si="51"/>
        <v>127.5</v>
      </c>
      <c r="AI353">
        <f t="shared" si="52"/>
        <v>127.5</v>
      </c>
      <c r="AJ353">
        <f t="shared" si="53"/>
        <v>127.5</v>
      </c>
      <c r="AK353" s="32"/>
      <c r="AL353">
        <f>SQRT((2+(($AL$3+Table4[[#This Row],[Red]])/2)/256)*($AL$3-Table4[[#This Row],[Red]])^2 + 4*($AM$3-Table4[[#This Row],[Green]])^2 + (2+(255-(($AL$3+Table4[[#This Row],[Red]])/2))/256 )*($AN$3-Table4[[#This Row],[Blue]])^2)</f>
        <v>527.66756447004582</v>
      </c>
      <c r="AM353">
        <f>SQRT((2+(($AO$3+Table4[[#This Row],[Red2]])/2)/256)*($AO$3-Table4[[#This Row],[Red2]])^2 + 4*($AP$3-Table4[[#This Row],[Green2]])^2 + (2+(255-(($AO$3+Table4[[#This Row],[Red2]])/2))/256 )*($AQ$3-Table4[[#This Row],[Blue2]])^2)</f>
        <v>423.23307334729878</v>
      </c>
      <c r="AN353">
        <f>SQRT(Table4[[#This Row],[diffPrimary]]^2+Table4[[#This Row],[diffSecondary]]^2)</f>
        <v>676.4312921271088</v>
      </c>
      <c r="AO353" s="2">
        <f>SQRT((2+(($AL$3+Table4[[#This Row],[Red2]])/2)/256)*($AL$3-Table4[[#This Row],[Red2]])^2 + 4*($AM$3-Table4[[#This Row],[Green2]])^2 + (2+(255-(($AL$3+Table4[[#This Row],[Red2]])/2))/256 )*($AN$3-Table4[[#This Row],[Blue2]])^2)</f>
        <v>549.15081283229927</v>
      </c>
      <c r="AP353" s="2">
        <f>SQRT((2+(($AO$3+Table4[[#This Row],[Red]])/2)/256)*($AO$3-Table4[[#This Row],[Red]])^2 + 4*($AP$3-Table4[[#This Row],[Green]])^2 + (2+(255-(($AO$3+Table4[[#This Row],[Red]])/2))/256 )*($AQ$3-Table4[[#This Row],[Blue]])^2)</f>
        <v>229.4713949357305</v>
      </c>
      <c r="AQ353" s="2">
        <f>SQRT(Table4[[#This Row],[diffPrimary2]]^2+Table4[[#This Row],[diffSecondary2]]^2)</f>
        <v>595.16698188670125</v>
      </c>
      <c r="AR353" s="786">
        <f>MIN(Table4[[#This Row],[MinOrig]],Table4[[#This Row],[MinSwap]])</f>
        <v>595.16698188670125</v>
      </c>
      <c r="AS353" s="2">
        <v>69.083721287109299</v>
      </c>
      <c r="AX353" s="4"/>
    </row>
    <row r="354" spans="1:50" x14ac:dyDescent="0.25">
      <c r="A354" t="s">
        <v>287</v>
      </c>
      <c r="B354">
        <v>0</v>
      </c>
      <c r="C354">
        <v>103</v>
      </c>
      <c r="D354">
        <v>197</v>
      </c>
      <c r="E354" s="531"/>
      <c r="F354">
        <v>0</v>
      </c>
      <c r="G354">
        <v>127</v>
      </c>
      <c r="H354">
        <v>62</v>
      </c>
      <c r="I354" s="532"/>
      <c r="J354">
        <v>158</v>
      </c>
      <c r="K354">
        <v>162</v>
      </c>
      <c r="L354">
        <v>164</v>
      </c>
      <c r="M354" s="533"/>
      <c r="N354">
        <v>0</v>
      </c>
      <c r="O354">
        <v>46</v>
      </c>
      <c r="P354">
        <v>87</v>
      </c>
      <c r="Q354" s="534"/>
      <c r="U354" s="4"/>
      <c r="Y354" s="4"/>
      <c r="Z354">
        <f t="shared" si="54"/>
        <v>0</v>
      </c>
      <c r="AA354">
        <f t="shared" si="55"/>
        <v>127.5</v>
      </c>
      <c r="AB354">
        <f t="shared" si="56"/>
        <v>255</v>
      </c>
      <c r="AC354" s="36"/>
      <c r="AD354">
        <f t="shared" si="57"/>
        <v>0</v>
      </c>
      <c r="AE354">
        <f t="shared" si="58"/>
        <v>127.5</v>
      </c>
      <c r="AF354">
        <f t="shared" si="59"/>
        <v>0</v>
      </c>
      <c r="AG354" s="34"/>
      <c r="AH354">
        <f t="shared" si="51"/>
        <v>127.5</v>
      </c>
      <c r="AI354">
        <f t="shared" si="52"/>
        <v>127.5</v>
      </c>
      <c r="AJ354">
        <f t="shared" si="53"/>
        <v>127.5</v>
      </c>
      <c r="AK354" s="32"/>
      <c r="AL354">
        <f>SQRT((2+(($AL$3+Table4[[#This Row],[Red]])/2)/256)*($AL$3-Table4[[#This Row],[Red]])^2 + 4*($AM$3-Table4[[#This Row],[Green]])^2 + (2+(255-(($AL$3+Table4[[#This Row],[Red]])/2))/256 )*($AN$3-Table4[[#This Row],[Blue]])^2)</f>
        <v>548.63302782347148</v>
      </c>
      <c r="AM354">
        <f>SQRT((2+(($AO$3+Table4[[#This Row],[Red2]])/2)/256)*($AO$3-Table4[[#This Row],[Red2]])^2 + 4*($AP$3-Table4[[#This Row],[Green2]])^2 + (2+(255-(($AO$3+Table4[[#This Row],[Red2]])/2))/256 )*($AQ$3-Table4[[#This Row],[Blue2]])^2)</f>
        <v>275.74079200401235</v>
      </c>
      <c r="AN354">
        <f>SQRT(Table4[[#This Row],[diffPrimary]]^2+Table4[[#This Row],[diffSecondary]]^2)</f>
        <v>614.02865046653164</v>
      </c>
      <c r="AO354" s="2">
        <f>SQRT((2+(($AL$3+Table4[[#This Row],[Red2]])/2)/256)*($AL$3-Table4[[#This Row],[Red2]])^2 + 4*($AM$3-Table4[[#This Row],[Green2]])^2 + (2+(255-(($AL$3+Table4[[#This Row],[Red2]])/2))/256 )*($AN$3-Table4[[#This Row],[Blue2]])^2)</f>
        <v>443.1410500443115</v>
      </c>
      <c r="AP354" s="2">
        <f>SQRT((2+(($AO$3+Table4[[#This Row],[Red]])/2)/256)*($AO$3-Table4[[#This Row],[Red]])^2 + 4*($AP$3-Table4[[#This Row],[Green]])^2 + (2+(255-(($AO$3+Table4[[#This Row],[Red]])/2))/256 )*($AQ$3-Table4[[#This Row],[Blue]])^2)</f>
        <v>398.38599667125601</v>
      </c>
      <c r="AQ354" s="2">
        <f>SQRT(Table4[[#This Row],[diffPrimary2]]^2+Table4[[#This Row],[diffSecondary2]]^2)</f>
        <v>595.89041994155684</v>
      </c>
      <c r="AR354" s="786">
        <f>MIN(Table4[[#This Row],[MinOrig]],Table4[[#This Row],[MinSwap]])</f>
        <v>595.89041994155684</v>
      </c>
      <c r="AS354" s="2">
        <v>162.71300942917901</v>
      </c>
      <c r="AX354" s="4"/>
    </row>
    <row r="355" spans="1:50" x14ac:dyDescent="0.25">
      <c r="A355" t="s">
        <v>293</v>
      </c>
      <c r="B355">
        <v>21</v>
      </c>
      <c r="C355">
        <v>57</v>
      </c>
      <c r="D355">
        <v>127</v>
      </c>
      <c r="E355" s="543"/>
      <c r="F355">
        <v>0</v>
      </c>
      <c r="G355">
        <v>92</v>
      </c>
      <c r="H355">
        <v>185</v>
      </c>
      <c r="I355" s="544"/>
      <c r="J355">
        <v>255</v>
      </c>
      <c r="K355">
        <v>218</v>
      </c>
      <c r="L355">
        <v>0</v>
      </c>
      <c r="M355" s="545"/>
      <c r="N355">
        <v>190</v>
      </c>
      <c r="O355">
        <v>195</v>
      </c>
      <c r="P355">
        <v>195</v>
      </c>
      <c r="Q355" s="546"/>
      <c r="R355">
        <v>21</v>
      </c>
      <c r="S355">
        <v>57</v>
      </c>
      <c r="T355">
        <v>127</v>
      </c>
      <c r="U355" s="543"/>
      <c r="V355">
        <v>0</v>
      </c>
      <c r="W355">
        <v>0</v>
      </c>
      <c r="X355">
        <v>0</v>
      </c>
      <c r="Y355" s="4"/>
      <c r="Z355">
        <f t="shared" si="54"/>
        <v>0</v>
      </c>
      <c r="AA355">
        <f t="shared" si="55"/>
        <v>0</v>
      </c>
      <c r="AB355">
        <f t="shared" si="56"/>
        <v>127.5</v>
      </c>
      <c r="AC355" s="26"/>
      <c r="AD355">
        <f t="shared" si="57"/>
        <v>0</v>
      </c>
      <c r="AE355">
        <f t="shared" si="58"/>
        <v>127.5</v>
      </c>
      <c r="AF355">
        <f t="shared" si="59"/>
        <v>127.5</v>
      </c>
      <c r="AG355" s="24"/>
      <c r="AH355">
        <f t="shared" si="51"/>
        <v>255</v>
      </c>
      <c r="AI355">
        <f t="shared" si="52"/>
        <v>255</v>
      </c>
      <c r="AJ355">
        <f t="shared" si="53"/>
        <v>0</v>
      </c>
      <c r="AK355" s="9"/>
      <c r="AL355">
        <f>SQRT((2+(($AL$3+Table4[[#This Row],[Red]])/2)/256)*($AL$3-Table4[[#This Row],[Red]])^2 + 4*($AM$3-Table4[[#This Row],[Green]])^2 + (2+(255-(($AL$3+Table4[[#This Row],[Red]])/2))/256 )*($AN$3-Table4[[#This Row],[Blue]])^2)</f>
        <v>516.01779357038652</v>
      </c>
      <c r="AM355">
        <f>SQRT((2+(($AO$3+Table4[[#This Row],[Red2]])/2)/256)*($AO$3-Table4[[#This Row],[Red2]])^2 + 4*($AP$3-Table4[[#This Row],[Green2]])^2 + (2+(255-(($AO$3+Table4[[#This Row],[Red2]])/2))/256 )*($AQ$3-Table4[[#This Row],[Blue2]])^2)</f>
        <v>369.32006253891757</v>
      </c>
      <c r="AN355">
        <f>SQRT(Table4[[#This Row],[diffPrimary]]^2+Table4[[#This Row],[diffSecondary]]^2)</f>
        <v>634.56415899024739</v>
      </c>
      <c r="AO355" s="2">
        <f>SQRT((2+(($AL$3+Table4[[#This Row],[Red2]])/2)/256)*($AL$3-Table4[[#This Row],[Red2]])^2 + 4*($AM$3-Table4[[#This Row],[Green2]])^2 + (2+(255-(($AL$3+Table4[[#This Row],[Red2]])/2))/256 )*($AN$3-Table4[[#This Row],[Blue2]])^2)</f>
        <v>546.81546461649202</v>
      </c>
      <c r="AP355" s="2">
        <f>SQRT((2+(($AO$3+Table4[[#This Row],[Red]])/2)/256)*($AO$3-Table4[[#This Row],[Red]])^2 + 4*($AP$3-Table4[[#This Row],[Green]])^2 + (2+(255-(($AO$3+Table4[[#This Row],[Red]])/2))/256 )*($AQ$3-Table4[[#This Row],[Blue]])^2)</f>
        <v>248.10994129367327</v>
      </c>
      <c r="AQ355" s="2">
        <f>SQRT(Table4[[#This Row],[diffPrimary2]]^2+Table4[[#This Row],[diffSecondary2]]^2)</f>
        <v>600.47122771411796</v>
      </c>
      <c r="AR355" s="786">
        <f>MIN(Table4[[#This Row],[MinOrig]],Table4[[#This Row],[MinSwap]])</f>
        <v>600.47122771411796</v>
      </c>
      <c r="AS355" s="2">
        <v>69.083721287109299</v>
      </c>
      <c r="AX355" s="4"/>
    </row>
    <row r="356" spans="1:50" x14ac:dyDescent="0.25">
      <c r="A356" t="s">
        <v>169</v>
      </c>
      <c r="B356">
        <v>255</v>
      </c>
      <c r="C356">
        <v>188</v>
      </c>
      <c r="D356">
        <v>0</v>
      </c>
      <c r="E356" s="373"/>
      <c r="F356">
        <v>204</v>
      </c>
      <c r="G356">
        <v>204</v>
      </c>
      <c r="H356">
        <v>204</v>
      </c>
      <c r="I356" s="130"/>
      <c r="J356">
        <v>0</v>
      </c>
      <c r="K356">
        <v>0</v>
      </c>
      <c r="L356">
        <v>0</v>
      </c>
      <c r="M356" s="4"/>
      <c r="Q356" s="4"/>
      <c r="U356" s="4"/>
      <c r="Y356" s="4"/>
      <c r="Z356">
        <f t="shared" si="54"/>
        <v>255</v>
      </c>
      <c r="AA356">
        <f t="shared" si="55"/>
        <v>127.5</v>
      </c>
      <c r="AB356">
        <f t="shared" si="56"/>
        <v>0</v>
      </c>
      <c r="AC356" s="28"/>
      <c r="AD356">
        <f t="shared" si="57"/>
        <v>255</v>
      </c>
      <c r="AE356">
        <f t="shared" si="58"/>
        <v>255</v>
      </c>
      <c r="AF356">
        <f t="shared" si="59"/>
        <v>255</v>
      </c>
      <c r="AG356" s="3"/>
      <c r="AH356">
        <f t="shared" si="51"/>
        <v>0</v>
      </c>
      <c r="AI356">
        <f t="shared" si="52"/>
        <v>0</v>
      </c>
      <c r="AJ356">
        <f t="shared" si="53"/>
        <v>0</v>
      </c>
      <c r="AK356" s="4"/>
      <c r="AL356">
        <f>SQRT((2+(($AL$3+Table4[[#This Row],[Red]])/2)/256)*($AL$3-Table4[[#This Row],[Red]])^2 + 4*($AM$3-Table4[[#This Row],[Green]])^2 + (2+(255-(($AL$3+Table4[[#This Row],[Red]])/2))/256 )*($AN$3-Table4[[#This Row],[Blue]])^2)</f>
        <v>34</v>
      </c>
      <c r="AM356">
        <f>SQRT((2+(($AO$3+Table4[[#This Row],[Red2]])/2)/256)*($AO$3-Table4[[#This Row],[Red2]])^2 + 4*($AP$3-Table4[[#This Row],[Green2]])^2 + (2+(255-(($AO$3+Table4[[#This Row],[Red2]])/2))/256 )*($AQ$3-Table4[[#This Row],[Blue2]])^2)</f>
        <v>611.86717308579318</v>
      </c>
      <c r="AN356">
        <f>SQRT(Table4[[#This Row],[diffPrimary]]^2+Table4[[#This Row],[diffSecondary]]^2)</f>
        <v>612.81109446549681</v>
      </c>
      <c r="AO356" s="2">
        <f>SQRT((2+(($AL$3+Table4[[#This Row],[Red2]])/2)/256)*($AL$3-Table4[[#This Row],[Red2]])^2 + 4*($AM$3-Table4[[#This Row],[Green2]])^2 + (2+(255-(($AL$3+Table4[[#This Row],[Red2]])/2))/256 )*($AN$3-Table4[[#This Row],[Blue2]])^2)</f>
        <v>308.08294274330575</v>
      </c>
      <c r="AP356" s="2">
        <f>SQRT((2+(($AO$3+Table4[[#This Row],[Red]])/2)/256)*($AO$3-Table4[[#This Row],[Red]])^2 + 4*($AP$3-Table4[[#This Row],[Green]])^2 + (2+(255-(($AO$3+Table4[[#This Row],[Red]])/2))/256 )*($AQ$3-Table4[[#This Row],[Blue]])^2)</f>
        <v>551.19098146366196</v>
      </c>
      <c r="AQ356" s="2">
        <f>SQRT(Table4[[#This Row],[diffPrimary2]]^2+Table4[[#This Row],[diffSecondary2]]^2)</f>
        <v>631.44801659063739</v>
      </c>
      <c r="AR356" s="786">
        <f>MIN(Table4[[#This Row],[MinOrig]],Table4[[#This Row],[MinSwap]])</f>
        <v>612.81109446549681</v>
      </c>
      <c r="AS356" s="2">
        <v>119.130820293281</v>
      </c>
      <c r="AX356" s="4"/>
    </row>
    <row r="357" spans="1:50" x14ac:dyDescent="0.25">
      <c r="A357" t="s">
        <v>194</v>
      </c>
      <c r="B357">
        <v>123</v>
      </c>
      <c r="C357">
        <v>175</v>
      </c>
      <c r="D357">
        <v>212</v>
      </c>
      <c r="E357" s="405"/>
      <c r="F357">
        <v>255</v>
      </c>
      <c r="G357">
        <v>255</v>
      </c>
      <c r="H357">
        <v>255</v>
      </c>
      <c r="I357" s="3"/>
      <c r="J357">
        <v>19</v>
      </c>
      <c r="K357">
        <v>41</v>
      </c>
      <c r="L357">
        <v>75</v>
      </c>
      <c r="M357" s="127"/>
      <c r="N357">
        <v>44</v>
      </c>
      <c r="O357">
        <v>42</v>
      </c>
      <c r="P357">
        <v>41</v>
      </c>
      <c r="Q357" s="406"/>
      <c r="R357">
        <v>141</v>
      </c>
      <c r="S357">
        <v>144</v>
      </c>
      <c r="T357">
        <v>146</v>
      </c>
      <c r="U357" s="407"/>
      <c r="V357">
        <v>162</v>
      </c>
      <c r="W357">
        <v>170</v>
      </c>
      <c r="X357">
        <v>173</v>
      </c>
      <c r="Y357" s="188"/>
      <c r="Z357">
        <f t="shared" si="54"/>
        <v>127.5</v>
      </c>
      <c r="AA357">
        <f t="shared" si="55"/>
        <v>127.5</v>
      </c>
      <c r="AB357">
        <f t="shared" si="56"/>
        <v>255</v>
      </c>
      <c r="AC357" s="37"/>
      <c r="AD357">
        <f t="shared" si="57"/>
        <v>255</v>
      </c>
      <c r="AE357">
        <f t="shared" si="58"/>
        <v>255</v>
      </c>
      <c r="AF357">
        <f t="shared" si="59"/>
        <v>255</v>
      </c>
      <c r="AG357" s="3"/>
      <c r="AH357">
        <f t="shared" si="51"/>
        <v>0</v>
      </c>
      <c r="AI357">
        <f t="shared" si="52"/>
        <v>0</v>
      </c>
      <c r="AJ357">
        <f t="shared" si="53"/>
        <v>127.5</v>
      </c>
      <c r="AK357" s="26"/>
      <c r="AL357">
        <f>SQRT((2+(($AL$3+Table4[[#This Row],[Red]])/2)/256)*($AL$3-Table4[[#This Row],[Red]])^2 + 4*($AM$3-Table4[[#This Row],[Green]])^2 + (2+(255-(($AL$3+Table4[[#This Row],[Red]])/2))/256 )*($AN$3-Table4[[#This Row],[Blue]])^2)</f>
        <v>390.87969696570326</v>
      </c>
      <c r="AM357">
        <f>SQRT((2+(($AO$3+Table4[[#This Row],[Red2]])/2)/256)*($AO$3-Table4[[#This Row],[Red2]])^2 + 4*($AP$3-Table4[[#This Row],[Green2]])^2 + (2+(255-(($AO$3+Table4[[#This Row],[Red2]])/2))/256 )*($AQ$3-Table4[[#This Row],[Blue2]])^2)</f>
        <v>764.83396635724148</v>
      </c>
      <c r="AN357">
        <f>SQRT(Table4[[#This Row],[diffPrimary]]^2+Table4[[#This Row],[diffSecondary]]^2)</f>
        <v>858.92836348193202</v>
      </c>
      <c r="AO357" s="2">
        <f>SQRT((2+(($AL$3+Table4[[#This Row],[Red2]])/2)/256)*($AL$3-Table4[[#This Row],[Red2]])^2 + 4*($AM$3-Table4[[#This Row],[Green2]])^2 + (2+(255-(($AL$3+Table4[[#This Row],[Red2]])/2))/256 )*($AN$3-Table4[[#This Row],[Blue2]])^2)</f>
        <v>374.23254802328461</v>
      </c>
      <c r="AP357" s="2">
        <f>SQRT((2+(($AO$3+Table4[[#This Row],[Red]])/2)/256)*($AO$3-Table4[[#This Row],[Red]])^2 + 4*($AP$3-Table4[[#This Row],[Green]])^2 + (2+(255-(($AO$3+Table4[[#This Row],[Red]])/2))/256 )*($AQ$3-Table4[[#This Row],[Blue]])^2)</f>
        <v>529.38818423664782</v>
      </c>
      <c r="AQ357" s="2">
        <f>SQRT(Table4[[#This Row],[diffPrimary2]]^2+Table4[[#This Row],[diffSecondary2]]^2)</f>
        <v>648.30691004290168</v>
      </c>
      <c r="AR357" s="786">
        <f>MIN(Table4[[#This Row],[MinOrig]],Table4[[#This Row],[MinSwap]])</f>
        <v>648.30691004290168</v>
      </c>
      <c r="AS357" s="2">
        <v>252.66364591834301</v>
      </c>
      <c r="AX357" s="4"/>
    </row>
    <row r="358" spans="1:50" x14ac:dyDescent="0.25">
      <c r="A358" t="s">
        <v>449</v>
      </c>
      <c r="B358">
        <v>255</v>
      </c>
      <c r="C358">
        <v>199</v>
      </c>
      <c r="D358">
        <v>44</v>
      </c>
      <c r="E358" s="68"/>
      <c r="F358">
        <v>255</v>
      </c>
      <c r="G358">
        <v>255</v>
      </c>
      <c r="H358">
        <v>255</v>
      </c>
      <c r="I358" s="3"/>
      <c r="J358">
        <v>0</v>
      </c>
      <c r="K358">
        <v>0</v>
      </c>
      <c r="L358">
        <v>0</v>
      </c>
      <c r="M358" s="4"/>
      <c r="Q358" s="4"/>
      <c r="U358" s="4"/>
      <c r="Y358" s="4"/>
      <c r="Z358">
        <f t="shared" si="54"/>
        <v>255</v>
      </c>
      <c r="AA358">
        <f t="shared" si="55"/>
        <v>255</v>
      </c>
      <c r="AB358">
        <f t="shared" si="56"/>
        <v>0</v>
      </c>
      <c r="AC358" s="9"/>
      <c r="AD358">
        <f t="shared" si="57"/>
        <v>255</v>
      </c>
      <c r="AE358">
        <f t="shared" si="58"/>
        <v>255</v>
      </c>
      <c r="AF358">
        <f t="shared" si="59"/>
        <v>255</v>
      </c>
      <c r="AG358" s="3"/>
      <c r="AH358">
        <f t="shared" si="51"/>
        <v>0</v>
      </c>
      <c r="AI358">
        <f t="shared" si="52"/>
        <v>0</v>
      </c>
      <c r="AJ358">
        <f t="shared" si="53"/>
        <v>0</v>
      </c>
      <c r="AK358" s="4"/>
      <c r="AL358">
        <f>SQRT((2+(($AL$3+Table4[[#This Row],[Red]])/2)/256)*($AL$3-Table4[[#This Row],[Red]])^2 + 4*($AM$3-Table4[[#This Row],[Green]])^2 + (2+(255-(($AL$3+Table4[[#This Row],[Red]])/2))/256 )*($AN$3-Table4[[#This Row],[Blue]])^2)</f>
        <v>63.371918071019437</v>
      </c>
      <c r="AM358">
        <f>SQRT((2+(($AO$3+Table4[[#This Row],[Red2]])/2)/256)*($AO$3-Table4[[#This Row],[Red2]])^2 + 4*($AP$3-Table4[[#This Row],[Green2]])^2 + (2+(255-(($AO$3+Table4[[#This Row],[Red2]])/2))/256 )*($AQ$3-Table4[[#This Row],[Blue2]])^2)</f>
        <v>764.83396635724148</v>
      </c>
      <c r="AN358">
        <f>SQRT(Table4[[#This Row],[diffPrimary]]^2+Table4[[#This Row],[diffSecondary]]^2)</f>
        <v>767.45488212255839</v>
      </c>
      <c r="AO358" s="2">
        <f>SQRT((2+(($AL$3+Table4[[#This Row],[Red2]])/2)/256)*($AL$3-Table4[[#This Row],[Red2]])^2 + 4*($AM$3-Table4[[#This Row],[Green2]])^2 + (2+(255-(($AL$3+Table4[[#This Row],[Red2]])/2))/256 )*($AN$3-Table4[[#This Row],[Blue2]])^2)</f>
        <v>374.23254802328461</v>
      </c>
      <c r="AP358" s="2">
        <f>SQRT((2+(($AO$3+Table4[[#This Row],[Red]])/2)/256)*($AO$3-Table4[[#This Row],[Red]])^2 + 4*($AP$3-Table4[[#This Row],[Green]])^2 + (2+(255-(($AO$3+Table4[[#This Row],[Red]])/2))/256 )*($AQ$3-Table4[[#This Row],[Blue]])^2)</f>
        <v>570.68004765969783</v>
      </c>
      <c r="AQ358" s="2">
        <f>SQRT(Table4[[#This Row],[diffPrimary2]]^2+Table4[[#This Row],[diffSecondary2]]^2)</f>
        <v>682.4409987661021</v>
      </c>
      <c r="AR358" s="786">
        <f>MIN(Table4[[#This Row],[MinOrig]],Table4[[#This Row],[MinSwap]])</f>
        <v>682.4409987661021</v>
      </c>
      <c r="AS358" s="2">
        <v>166.59783865269699</v>
      </c>
      <c r="AX358" s="4"/>
    </row>
  </sheetData>
  <conditionalFormatting sqref="B2">
    <cfRule type="colorScale" priority="3">
      <colorScale>
        <cfvo type="num" val="0"/>
        <cfvo type="num" val="255"/>
        <color theme="1"/>
        <color rgb="FFFF0000"/>
      </colorScale>
    </cfRule>
  </conditionalFormatting>
  <conditionalFormatting sqref="C2">
    <cfRule type="colorScale" priority="2">
      <colorScale>
        <cfvo type="num" val="0"/>
        <cfvo type="num" val="255"/>
        <color theme="1"/>
        <color rgb="FF00FF00"/>
      </colorScale>
    </cfRule>
  </conditionalFormatting>
  <conditionalFormatting sqref="D2">
    <cfRule type="colorScale" priority="1">
      <colorScale>
        <cfvo type="num" val="0"/>
        <cfvo type="num" val="255"/>
        <color theme="1"/>
        <color rgb="FF0000FF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C855A7-0E75-4D68-942E-DB0AD0C47617}">
  <sheetPr codeName="Sheet8"/>
  <dimension ref="A1:I28"/>
  <sheetViews>
    <sheetView zoomScale="70" zoomScaleNormal="70" workbookViewId="0">
      <selection activeCell="S17" sqref="S17"/>
    </sheetView>
  </sheetViews>
  <sheetFormatPr defaultRowHeight="15" x14ac:dyDescent="0.25"/>
  <cols>
    <col min="1" max="1" width="11.7109375" customWidth="1"/>
    <col min="2" max="2" width="6" customWidth="1"/>
    <col min="3" max="3" width="15.85546875" bestFit="1" customWidth="1"/>
    <col min="7" max="7" width="12.42578125" customWidth="1"/>
    <col min="8" max="8" width="16" bestFit="1" customWidth="1"/>
    <col min="9" max="9" width="18.28515625" bestFit="1" customWidth="1"/>
  </cols>
  <sheetData>
    <row r="1" spans="1:9" x14ac:dyDescent="0.25">
      <c r="A1" t="s">
        <v>389</v>
      </c>
      <c r="B1" t="s">
        <v>390</v>
      </c>
      <c r="C1" t="s">
        <v>391</v>
      </c>
      <c r="D1" t="s">
        <v>357</v>
      </c>
      <c r="E1" t="s">
        <v>356</v>
      </c>
      <c r="F1" t="s">
        <v>355</v>
      </c>
      <c r="G1" t="s">
        <v>392</v>
      </c>
      <c r="H1" t="s">
        <v>454</v>
      </c>
      <c r="I1" t="s">
        <v>455</v>
      </c>
    </row>
    <row r="2" spans="1:9" x14ac:dyDescent="0.25">
      <c r="A2" s="3"/>
      <c r="B2" t="s">
        <v>351</v>
      </c>
      <c r="C2" t="s">
        <v>351</v>
      </c>
      <c r="D2">
        <v>255</v>
      </c>
      <c r="E2">
        <v>255</v>
      </c>
      <c r="F2">
        <v>255</v>
      </c>
      <c r="G2">
        <f t="shared" ref="G2:G28" si="0">SUM(D2:F2)</f>
        <v>765</v>
      </c>
      <c r="H2">
        <v>0</v>
      </c>
      <c r="I2">
        <v>52</v>
      </c>
    </row>
    <row r="3" spans="1:9" x14ac:dyDescent="0.25">
      <c r="A3" s="55"/>
      <c r="B3" t="s">
        <v>368</v>
      </c>
      <c r="C3" t="s">
        <v>383</v>
      </c>
      <c r="D3">
        <v>255</v>
      </c>
      <c r="E3">
        <v>255</v>
      </c>
      <c r="F3">
        <v>127.5</v>
      </c>
      <c r="G3">
        <f t="shared" si="0"/>
        <v>637.5</v>
      </c>
      <c r="H3">
        <v>1</v>
      </c>
      <c r="I3">
        <v>7</v>
      </c>
    </row>
    <row r="4" spans="1:9" x14ac:dyDescent="0.25">
      <c r="A4" s="56"/>
      <c r="B4" t="s">
        <v>370</v>
      </c>
      <c r="C4" t="s">
        <v>384</v>
      </c>
      <c r="D4">
        <v>127.5</v>
      </c>
      <c r="E4">
        <v>255</v>
      </c>
      <c r="F4">
        <v>255</v>
      </c>
      <c r="G4">
        <f t="shared" si="0"/>
        <v>637.5</v>
      </c>
      <c r="H4">
        <v>0</v>
      </c>
      <c r="I4">
        <v>0</v>
      </c>
    </row>
    <row r="5" spans="1:9" x14ac:dyDescent="0.25">
      <c r="A5" s="57"/>
      <c r="B5" t="s">
        <v>369</v>
      </c>
      <c r="C5" t="s">
        <v>385</v>
      </c>
      <c r="D5">
        <v>255</v>
      </c>
      <c r="E5">
        <v>127.5</v>
      </c>
      <c r="F5">
        <v>255</v>
      </c>
      <c r="G5">
        <f t="shared" si="0"/>
        <v>637.5</v>
      </c>
      <c r="H5">
        <v>0</v>
      </c>
      <c r="I5">
        <v>0</v>
      </c>
    </row>
    <row r="6" spans="1:9" x14ac:dyDescent="0.25">
      <c r="A6" s="9"/>
      <c r="B6" t="s">
        <v>354</v>
      </c>
      <c r="C6" t="s">
        <v>354</v>
      </c>
      <c r="D6">
        <v>255</v>
      </c>
      <c r="E6">
        <v>255</v>
      </c>
      <c r="F6">
        <v>0</v>
      </c>
      <c r="G6">
        <f t="shared" si="0"/>
        <v>510</v>
      </c>
      <c r="H6">
        <v>10</v>
      </c>
      <c r="I6">
        <v>35</v>
      </c>
    </row>
    <row r="7" spans="1:9" x14ac:dyDescent="0.25">
      <c r="A7" s="52"/>
      <c r="B7" t="s">
        <v>382</v>
      </c>
      <c r="C7" t="s">
        <v>386</v>
      </c>
      <c r="D7" s="58">
        <v>127.5</v>
      </c>
      <c r="E7">
        <v>127.5</v>
      </c>
      <c r="F7">
        <v>255</v>
      </c>
      <c r="G7">
        <f t="shared" si="0"/>
        <v>510</v>
      </c>
      <c r="H7">
        <v>4</v>
      </c>
      <c r="I7">
        <v>2</v>
      </c>
    </row>
    <row r="8" spans="1:9" x14ac:dyDescent="0.25">
      <c r="A8" s="54"/>
      <c r="B8" t="s">
        <v>380</v>
      </c>
      <c r="C8" t="s">
        <v>388</v>
      </c>
      <c r="D8" s="58">
        <v>255</v>
      </c>
      <c r="E8">
        <v>127.5</v>
      </c>
      <c r="F8">
        <v>127.5</v>
      </c>
      <c r="G8">
        <f t="shared" si="0"/>
        <v>510</v>
      </c>
      <c r="H8">
        <v>2</v>
      </c>
      <c r="I8">
        <v>12</v>
      </c>
    </row>
    <row r="9" spans="1:9" x14ac:dyDescent="0.25">
      <c r="A9" s="6"/>
      <c r="B9" t="s">
        <v>352</v>
      </c>
      <c r="C9" t="s">
        <v>352</v>
      </c>
      <c r="D9">
        <v>0</v>
      </c>
      <c r="E9">
        <v>255</v>
      </c>
      <c r="F9">
        <v>255</v>
      </c>
      <c r="G9">
        <f t="shared" si="0"/>
        <v>510</v>
      </c>
      <c r="H9">
        <v>0</v>
      </c>
      <c r="I9">
        <v>3</v>
      </c>
    </row>
    <row r="10" spans="1:9" x14ac:dyDescent="0.25">
      <c r="A10" s="39"/>
      <c r="B10" t="s">
        <v>353</v>
      </c>
      <c r="C10" t="s">
        <v>353</v>
      </c>
      <c r="D10">
        <v>255</v>
      </c>
      <c r="E10">
        <v>0</v>
      </c>
      <c r="F10">
        <v>255</v>
      </c>
      <c r="G10">
        <f t="shared" si="0"/>
        <v>510</v>
      </c>
      <c r="H10">
        <v>0</v>
      </c>
      <c r="I10">
        <v>0</v>
      </c>
    </row>
    <row r="11" spans="1:9" x14ac:dyDescent="0.25">
      <c r="A11" s="53"/>
      <c r="B11" t="s">
        <v>381</v>
      </c>
      <c r="C11" t="s">
        <v>387</v>
      </c>
      <c r="D11" s="58">
        <v>127.5</v>
      </c>
      <c r="E11">
        <v>255</v>
      </c>
      <c r="F11">
        <v>127.5</v>
      </c>
      <c r="G11">
        <f t="shared" si="0"/>
        <v>510</v>
      </c>
      <c r="H11">
        <v>0</v>
      </c>
      <c r="I11">
        <v>0</v>
      </c>
    </row>
    <row r="12" spans="1:9" x14ac:dyDescent="0.25">
      <c r="A12" s="51"/>
      <c r="B12" t="s">
        <v>371</v>
      </c>
      <c r="C12" t="s">
        <v>395</v>
      </c>
      <c r="D12" s="58">
        <v>255</v>
      </c>
      <c r="E12">
        <v>127.5</v>
      </c>
      <c r="F12">
        <v>0</v>
      </c>
      <c r="G12">
        <f t="shared" si="0"/>
        <v>382.5</v>
      </c>
      <c r="H12">
        <v>34</v>
      </c>
      <c r="I12">
        <v>39</v>
      </c>
    </row>
    <row r="13" spans="1:9" x14ac:dyDescent="0.25">
      <c r="A13" s="23"/>
      <c r="B13" t="s">
        <v>362</v>
      </c>
      <c r="C13" t="s">
        <v>394</v>
      </c>
      <c r="D13">
        <v>127.5</v>
      </c>
      <c r="E13">
        <v>127.5</v>
      </c>
      <c r="F13">
        <v>127.5</v>
      </c>
      <c r="G13">
        <f t="shared" si="0"/>
        <v>382.5</v>
      </c>
      <c r="H13">
        <v>9</v>
      </c>
      <c r="I13">
        <v>61</v>
      </c>
    </row>
    <row r="14" spans="1:9" x14ac:dyDescent="0.25">
      <c r="A14" s="46"/>
      <c r="B14" t="s">
        <v>373</v>
      </c>
      <c r="C14" t="s">
        <v>374</v>
      </c>
      <c r="D14" s="58">
        <v>0</v>
      </c>
      <c r="E14">
        <v>127.5</v>
      </c>
      <c r="F14">
        <v>255</v>
      </c>
      <c r="G14">
        <f t="shared" si="0"/>
        <v>382.5</v>
      </c>
      <c r="H14">
        <v>2</v>
      </c>
      <c r="I14">
        <v>4</v>
      </c>
    </row>
    <row r="15" spans="1:9" x14ac:dyDescent="0.25">
      <c r="A15" s="50"/>
      <c r="B15" t="s">
        <v>372</v>
      </c>
      <c r="C15" t="s">
        <v>397</v>
      </c>
      <c r="D15" s="58">
        <v>255</v>
      </c>
      <c r="E15">
        <v>0</v>
      </c>
      <c r="F15">
        <v>127.5</v>
      </c>
      <c r="G15">
        <f t="shared" si="0"/>
        <v>382.5</v>
      </c>
      <c r="H15">
        <v>2</v>
      </c>
      <c r="I15">
        <v>0</v>
      </c>
    </row>
    <row r="16" spans="1:9" x14ac:dyDescent="0.25">
      <c r="A16" s="48"/>
      <c r="B16" t="s">
        <v>377</v>
      </c>
      <c r="C16" t="s">
        <v>393</v>
      </c>
      <c r="D16" s="58">
        <v>127.5</v>
      </c>
      <c r="E16">
        <v>0</v>
      </c>
      <c r="F16">
        <v>255</v>
      </c>
      <c r="G16">
        <f t="shared" si="0"/>
        <v>382.5</v>
      </c>
      <c r="H16">
        <v>0</v>
      </c>
      <c r="I16">
        <v>0</v>
      </c>
    </row>
    <row r="17" spans="1:9" x14ac:dyDescent="0.25">
      <c r="A17" s="47"/>
      <c r="B17" t="s">
        <v>376</v>
      </c>
      <c r="C17" t="s">
        <v>375</v>
      </c>
      <c r="D17" s="58">
        <v>0</v>
      </c>
      <c r="E17">
        <v>255</v>
      </c>
      <c r="F17">
        <v>127.5</v>
      </c>
      <c r="G17">
        <f t="shared" si="0"/>
        <v>382.5</v>
      </c>
      <c r="H17">
        <v>0</v>
      </c>
      <c r="I17">
        <v>0</v>
      </c>
    </row>
    <row r="18" spans="1:9" x14ac:dyDescent="0.25">
      <c r="A18" s="49"/>
      <c r="B18" t="s">
        <v>379</v>
      </c>
      <c r="C18" t="s">
        <v>378</v>
      </c>
      <c r="D18" s="58">
        <v>127.5</v>
      </c>
      <c r="E18">
        <v>255</v>
      </c>
      <c r="F18">
        <v>0</v>
      </c>
      <c r="G18">
        <f t="shared" si="0"/>
        <v>382.5</v>
      </c>
      <c r="H18">
        <v>0</v>
      </c>
      <c r="I18">
        <v>0</v>
      </c>
    </row>
    <row r="19" spans="1:9" x14ac:dyDescent="0.25">
      <c r="A19" s="5"/>
      <c r="B19" t="s">
        <v>357</v>
      </c>
      <c r="C19" t="s">
        <v>357</v>
      </c>
      <c r="D19">
        <v>255</v>
      </c>
      <c r="E19">
        <v>0</v>
      </c>
      <c r="F19">
        <v>0</v>
      </c>
      <c r="G19">
        <f t="shared" si="0"/>
        <v>255</v>
      </c>
      <c r="H19">
        <v>37</v>
      </c>
      <c r="I19">
        <v>20</v>
      </c>
    </row>
    <row r="20" spans="1:9" x14ac:dyDescent="0.25">
      <c r="A20" s="45"/>
      <c r="B20" t="s">
        <v>365</v>
      </c>
      <c r="C20" t="s">
        <v>365</v>
      </c>
      <c r="D20">
        <v>0</v>
      </c>
      <c r="E20">
        <v>127.5</v>
      </c>
      <c r="F20">
        <v>127.5</v>
      </c>
      <c r="G20">
        <f t="shared" si="0"/>
        <v>255</v>
      </c>
      <c r="H20">
        <v>35</v>
      </c>
      <c r="I20">
        <v>9</v>
      </c>
    </row>
    <row r="21" spans="1:9" x14ac:dyDescent="0.25">
      <c r="A21" s="44"/>
      <c r="B21" t="s">
        <v>364</v>
      </c>
      <c r="C21" t="s">
        <v>364</v>
      </c>
      <c r="D21">
        <v>127.5</v>
      </c>
      <c r="E21">
        <v>0</v>
      </c>
      <c r="F21">
        <v>127.5</v>
      </c>
      <c r="G21">
        <f t="shared" si="0"/>
        <v>255</v>
      </c>
      <c r="H21">
        <v>28</v>
      </c>
      <c r="I21">
        <v>3</v>
      </c>
    </row>
    <row r="22" spans="1:9" x14ac:dyDescent="0.25">
      <c r="A22" s="43"/>
      <c r="B22" t="s">
        <v>363</v>
      </c>
      <c r="C22" t="s">
        <v>366</v>
      </c>
      <c r="D22">
        <v>127.5</v>
      </c>
      <c r="E22">
        <v>127.5</v>
      </c>
      <c r="F22">
        <v>0</v>
      </c>
      <c r="G22">
        <f t="shared" si="0"/>
        <v>255</v>
      </c>
      <c r="H22">
        <v>4</v>
      </c>
      <c r="I22">
        <v>5</v>
      </c>
    </row>
    <row r="23" spans="1:9" x14ac:dyDescent="0.25">
      <c r="A23" s="7"/>
      <c r="B23" t="s">
        <v>355</v>
      </c>
      <c r="C23" t="s">
        <v>355</v>
      </c>
      <c r="D23">
        <v>0</v>
      </c>
      <c r="E23">
        <v>0</v>
      </c>
      <c r="F23">
        <v>255</v>
      </c>
      <c r="G23">
        <f t="shared" si="0"/>
        <v>255</v>
      </c>
      <c r="H23">
        <v>0</v>
      </c>
      <c r="I23">
        <v>0</v>
      </c>
    </row>
    <row r="24" spans="1:9" x14ac:dyDescent="0.25">
      <c r="A24" s="8"/>
      <c r="B24" t="s">
        <v>356</v>
      </c>
      <c r="C24" t="s">
        <v>356</v>
      </c>
      <c r="D24">
        <v>0</v>
      </c>
      <c r="E24">
        <v>255</v>
      </c>
      <c r="F24">
        <v>0</v>
      </c>
      <c r="G24">
        <f t="shared" si="0"/>
        <v>255</v>
      </c>
      <c r="H24">
        <v>0</v>
      </c>
      <c r="I24">
        <v>0</v>
      </c>
    </row>
    <row r="25" spans="1:9" x14ac:dyDescent="0.25">
      <c r="A25" s="40"/>
      <c r="B25" t="s">
        <v>360</v>
      </c>
      <c r="C25" t="s">
        <v>360</v>
      </c>
      <c r="D25">
        <v>0</v>
      </c>
      <c r="E25">
        <v>0</v>
      </c>
      <c r="F25">
        <v>127.5</v>
      </c>
      <c r="G25">
        <f t="shared" si="0"/>
        <v>127.5</v>
      </c>
      <c r="H25">
        <v>87</v>
      </c>
      <c r="I25">
        <v>26</v>
      </c>
    </row>
    <row r="26" spans="1:9" x14ac:dyDescent="0.25">
      <c r="A26" s="42"/>
      <c r="B26" t="s">
        <v>361</v>
      </c>
      <c r="C26" t="s">
        <v>361</v>
      </c>
      <c r="D26">
        <v>127.5</v>
      </c>
      <c r="E26">
        <v>0</v>
      </c>
      <c r="F26">
        <v>0</v>
      </c>
      <c r="G26">
        <f t="shared" si="0"/>
        <v>127.5</v>
      </c>
      <c r="H26">
        <v>67</v>
      </c>
      <c r="I26">
        <v>19</v>
      </c>
    </row>
    <row r="27" spans="1:9" x14ac:dyDescent="0.25">
      <c r="A27" s="41"/>
      <c r="B27" t="s">
        <v>359</v>
      </c>
      <c r="C27" t="s">
        <v>367</v>
      </c>
      <c r="D27">
        <v>0</v>
      </c>
      <c r="E27">
        <v>127.5</v>
      </c>
      <c r="F27">
        <v>0</v>
      </c>
      <c r="G27">
        <f t="shared" si="0"/>
        <v>127.5</v>
      </c>
      <c r="H27">
        <v>20</v>
      </c>
      <c r="I27">
        <v>4</v>
      </c>
    </row>
    <row r="28" spans="1:9" x14ac:dyDescent="0.25">
      <c r="A28" s="4"/>
      <c r="B28" t="s">
        <v>358</v>
      </c>
      <c r="C28" t="s">
        <v>358</v>
      </c>
      <c r="D28">
        <v>0</v>
      </c>
      <c r="E28">
        <v>0</v>
      </c>
      <c r="F28">
        <v>0</v>
      </c>
      <c r="G28">
        <f t="shared" si="0"/>
        <v>0</v>
      </c>
      <c r="H28">
        <v>12</v>
      </c>
      <c r="I28">
        <v>53</v>
      </c>
    </row>
  </sheetData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EB9FE2-F7E9-427B-AB74-BB1A9A8337BA}">
  <sheetPr codeName="Sheet9"/>
  <dimension ref="A1:J100"/>
  <sheetViews>
    <sheetView workbookViewId="0">
      <selection activeCell="L3" sqref="L3"/>
    </sheetView>
  </sheetViews>
  <sheetFormatPr defaultRowHeight="15" x14ac:dyDescent="0.25"/>
  <cols>
    <col min="1" max="1" width="5.5703125" bestFit="1" customWidth="1"/>
    <col min="2" max="2" width="5.7109375" bestFit="1" customWidth="1"/>
    <col min="3" max="3" width="5.5703125" bestFit="1" customWidth="1"/>
    <col min="4" max="4" width="5.28515625" bestFit="1" customWidth="1"/>
    <col min="5" max="5" width="5.42578125" bestFit="1" customWidth="1"/>
    <col min="6" max="6" width="5.28515625" bestFit="1" customWidth="1"/>
    <col min="7" max="7" width="4" bestFit="1" customWidth="1"/>
    <col min="8" max="8" width="10.140625" bestFit="1" customWidth="1"/>
    <col min="9" max="9" width="10.42578125" customWidth="1"/>
    <col min="10" max="10" width="8.5703125" bestFit="1" customWidth="1"/>
  </cols>
  <sheetData>
    <row r="1" spans="1:10" x14ac:dyDescent="0.25">
      <c r="A1" t="s">
        <v>501</v>
      </c>
      <c r="B1" t="s">
        <v>502</v>
      </c>
      <c r="C1" t="s">
        <v>503</v>
      </c>
      <c r="D1" t="s">
        <v>504</v>
      </c>
      <c r="E1" t="s">
        <v>505</v>
      </c>
      <c r="F1" t="s">
        <v>506</v>
      </c>
      <c r="G1" t="s">
        <v>500</v>
      </c>
      <c r="H1" t="s">
        <v>344</v>
      </c>
      <c r="I1" t="s">
        <v>345</v>
      </c>
      <c r="J1" t="s">
        <v>499</v>
      </c>
    </row>
    <row r="2" spans="1:10" x14ac:dyDescent="0.25">
      <c r="A2">
        <v>197</v>
      </c>
      <c r="B2">
        <v>16</v>
      </c>
      <c r="C2">
        <v>36</v>
      </c>
      <c r="D2">
        <v>2</v>
      </c>
      <c r="E2">
        <v>3</v>
      </c>
      <c r="F2">
        <v>6</v>
      </c>
      <c r="H2" s="718"/>
      <c r="I2" s="719"/>
      <c r="J2">
        <v>21</v>
      </c>
    </row>
    <row r="3" spans="1:10" x14ac:dyDescent="0.25">
      <c r="A3">
        <v>12</v>
      </c>
      <c r="B3">
        <v>35</v>
      </c>
      <c r="C3">
        <v>61</v>
      </c>
      <c r="D3">
        <v>243</v>
      </c>
      <c r="E3">
        <v>178</v>
      </c>
      <c r="F3">
        <v>23</v>
      </c>
      <c r="H3" s="735"/>
      <c r="I3" s="736"/>
      <c r="J3">
        <v>19</v>
      </c>
    </row>
    <row r="4" spans="1:10" x14ac:dyDescent="0.25">
      <c r="A4">
        <v>36</v>
      </c>
      <c r="B4">
        <v>44</v>
      </c>
      <c r="C4">
        <v>101</v>
      </c>
      <c r="D4">
        <v>255</v>
      </c>
      <c r="E4">
        <v>255</v>
      </c>
      <c r="F4">
        <v>255</v>
      </c>
      <c r="H4" s="753"/>
      <c r="I4" s="3"/>
      <c r="J4">
        <v>17</v>
      </c>
    </row>
    <row r="5" spans="1:10" x14ac:dyDescent="0.25">
      <c r="A5">
        <v>6</v>
      </c>
      <c r="B5">
        <v>43</v>
      </c>
      <c r="C5">
        <v>72</v>
      </c>
      <c r="D5">
        <v>201</v>
      </c>
      <c r="E5">
        <v>38</v>
      </c>
      <c r="F5">
        <v>41</v>
      </c>
      <c r="H5" s="740"/>
      <c r="I5" s="741"/>
      <c r="J5">
        <v>16</v>
      </c>
    </row>
    <row r="6" spans="1:10" x14ac:dyDescent="0.25">
      <c r="A6">
        <v>148</v>
      </c>
      <c r="B6">
        <v>26</v>
      </c>
      <c r="C6">
        <v>41</v>
      </c>
      <c r="D6">
        <v>251</v>
      </c>
      <c r="E6">
        <v>200</v>
      </c>
      <c r="F6">
        <v>38</v>
      </c>
      <c r="H6" s="742"/>
      <c r="I6" s="743"/>
      <c r="J6">
        <v>15</v>
      </c>
    </row>
    <row r="7" spans="1:10" x14ac:dyDescent="0.25">
      <c r="A7">
        <v>1</v>
      </c>
      <c r="B7">
        <v>60</v>
      </c>
      <c r="C7">
        <v>130</v>
      </c>
      <c r="D7">
        <v>246</v>
      </c>
      <c r="E7">
        <v>195</v>
      </c>
      <c r="F7">
        <v>16</v>
      </c>
      <c r="H7" s="707"/>
      <c r="I7" s="708"/>
      <c r="J7">
        <v>14</v>
      </c>
    </row>
    <row r="8" spans="1:10" x14ac:dyDescent="0.25">
      <c r="A8">
        <v>3</v>
      </c>
      <c r="B8">
        <v>53</v>
      </c>
      <c r="C8">
        <v>92</v>
      </c>
      <c r="D8">
        <v>178</v>
      </c>
      <c r="E8">
        <v>190</v>
      </c>
      <c r="F8">
        <v>199</v>
      </c>
      <c r="H8" s="709"/>
      <c r="I8" s="710"/>
      <c r="J8">
        <v>14</v>
      </c>
    </row>
    <row r="9" spans="1:10" x14ac:dyDescent="0.25">
      <c r="A9">
        <v>238</v>
      </c>
      <c r="B9">
        <v>119</v>
      </c>
      <c r="C9">
        <v>15</v>
      </c>
      <c r="D9">
        <v>40</v>
      </c>
      <c r="E9">
        <v>55</v>
      </c>
      <c r="F9">
        <v>63</v>
      </c>
      <c r="H9" s="744"/>
      <c r="I9" s="745"/>
      <c r="J9">
        <v>14</v>
      </c>
    </row>
    <row r="10" spans="1:10" x14ac:dyDescent="0.25">
      <c r="A10">
        <v>3</v>
      </c>
      <c r="B10">
        <v>70</v>
      </c>
      <c r="C10">
        <v>69</v>
      </c>
      <c r="D10">
        <v>197</v>
      </c>
      <c r="E10">
        <v>172</v>
      </c>
      <c r="F10">
        <v>113</v>
      </c>
      <c r="H10" s="748"/>
      <c r="I10" s="749"/>
      <c r="J10">
        <v>13</v>
      </c>
    </row>
    <row r="11" spans="1:10" x14ac:dyDescent="0.25">
      <c r="A11">
        <v>6</v>
      </c>
      <c r="B11">
        <v>50</v>
      </c>
      <c r="C11">
        <v>97</v>
      </c>
      <c r="D11">
        <v>135</v>
      </c>
      <c r="E11">
        <v>133</v>
      </c>
      <c r="F11">
        <v>128</v>
      </c>
      <c r="H11" s="725"/>
      <c r="I11" s="726"/>
      <c r="J11">
        <v>12</v>
      </c>
    </row>
    <row r="12" spans="1:10" x14ac:dyDescent="0.25">
      <c r="A12">
        <v>182</v>
      </c>
      <c r="B12">
        <v>14</v>
      </c>
      <c r="C12">
        <v>42</v>
      </c>
      <c r="D12">
        <v>4</v>
      </c>
      <c r="E12">
        <v>44</v>
      </c>
      <c r="F12">
        <v>97</v>
      </c>
      <c r="H12" s="746"/>
      <c r="I12" s="747"/>
      <c r="J12">
        <v>12</v>
      </c>
    </row>
    <row r="13" spans="1:10" x14ac:dyDescent="0.25">
      <c r="A13">
        <v>224</v>
      </c>
      <c r="B13">
        <v>177</v>
      </c>
      <c r="C13">
        <v>48</v>
      </c>
      <c r="D13">
        <v>1</v>
      </c>
      <c r="E13">
        <v>2</v>
      </c>
      <c r="F13">
        <v>2</v>
      </c>
      <c r="H13" s="729"/>
      <c r="I13" s="730"/>
      <c r="J13">
        <v>11</v>
      </c>
    </row>
    <row r="14" spans="1:10" x14ac:dyDescent="0.25">
      <c r="A14">
        <v>79</v>
      </c>
      <c r="B14">
        <v>30</v>
      </c>
      <c r="C14">
        <v>125</v>
      </c>
      <c r="D14">
        <v>248</v>
      </c>
      <c r="E14">
        <v>189</v>
      </c>
      <c r="F14">
        <v>20</v>
      </c>
      <c r="H14" s="766"/>
      <c r="I14" s="767"/>
      <c r="J14">
        <v>10</v>
      </c>
    </row>
    <row r="15" spans="1:10" x14ac:dyDescent="0.25">
      <c r="A15">
        <v>169</v>
      </c>
      <c r="B15">
        <v>23</v>
      </c>
      <c r="C15">
        <v>44</v>
      </c>
      <c r="D15">
        <v>253</v>
      </c>
      <c r="E15">
        <v>253</v>
      </c>
      <c r="F15">
        <v>249</v>
      </c>
      <c r="H15" s="774"/>
      <c r="I15" s="775"/>
      <c r="J15">
        <v>10</v>
      </c>
    </row>
    <row r="16" spans="1:10" x14ac:dyDescent="0.25">
      <c r="A16">
        <v>173</v>
      </c>
      <c r="B16">
        <v>17</v>
      </c>
      <c r="C16">
        <v>38</v>
      </c>
      <c r="D16">
        <v>116</v>
      </c>
      <c r="E16">
        <v>119</v>
      </c>
      <c r="F16">
        <v>119</v>
      </c>
      <c r="H16" s="731"/>
      <c r="I16" s="732"/>
      <c r="J16">
        <v>9</v>
      </c>
    </row>
    <row r="17" spans="1:10" x14ac:dyDescent="0.25">
      <c r="A17">
        <v>6</v>
      </c>
      <c r="B17">
        <v>100</v>
      </c>
      <c r="C17">
        <v>70</v>
      </c>
      <c r="D17">
        <v>0</v>
      </c>
      <c r="E17">
        <v>0</v>
      </c>
      <c r="F17">
        <v>0</v>
      </c>
      <c r="H17" s="737"/>
      <c r="I17" s="4"/>
      <c r="J17">
        <v>8</v>
      </c>
    </row>
    <row r="18" spans="1:10" x14ac:dyDescent="0.25">
      <c r="A18">
        <v>125</v>
      </c>
      <c r="B18">
        <v>34</v>
      </c>
      <c r="C18">
        <v>54</v>
      </c>
      <c r="D18">
        <v>160</v>
      </c>
      <c r="E18">
        <v>157</v>
      </c>
      <c r="F18">
        <v>146</v>
      </c>
      <c r="H18" s="751"/>
      <c r="I18" s="752"/>
      <c r="J18">
        <v>8</v>
      </c>
    </row>
    <row r="19" spans="1:10" x14ac:dyDescent="0.25">
      <c r="A19">
        <v>15</v>
      </c>
      <c r="B19">
        <v>97</v>
      </c>
      <c r="C19">
        <v>76</v>
      </c>
      <c r="D19">
        <v>236</v>
      </c>
      <c r="E19">
        <v>170</v>
      </c>
      <c r="F19">
        <v>24</v>
      </c>
      <c r="H19" s="776"/>
      <c r="I19" s="777"/>
      <c r="J19">
        <v>8</v>
      </c>
    </row>
    <row r="20" spans="1:10" x14ac:dyDescent="0.25">
      <c r="A20">
        <v>170</v>
      </c>
      <c r="B20">
        <v>12</v>
      </c>
      <c r="C20">
        <v>26</v>
      </c>
      <c r="D20">
        <v>187</v>
      </c>
      <c r="E20">
        <v>186</v>
      </c>
      <c r="F20">
        <v>181</v>
      </c>
      <c r="H20" s="720"/>
      <c r="I20" s="721"/>
      <c r="J20">
        <v>7</v>
      </c>
    </row>
    <row r="21" spans="1:10" x14ac:dyDescent="0.25">
      <c r="A21">
        <v>18</v>
      </c>
      <c r="B21">
        <v>91</v>
      </c>
      <c r="C21">
        <v>172</v>
      </c>
      <c r="D21">
        <v>255</v>
      </c>
      <c r="E21">
        <v>255</v>
      </c>
      <c r="F21">
        <v>255</v>
      </c>
      <c r="H21" s="750"/>
      <c r="I21" s="3"/>
      <c r="J21">
        <v>7</v>
      </c>
    </row>
    <row r="22" spans="1:10" x14ac:dyDescent="0.25">
      <c r="A22">
        <v>7</v>
      </c>
      <c r="B22">
        <v>67</v>
      </c>
      <c r="C22">
        <v>159</v>
      </c>
      <c r="D22">
        <v>209</v>
      </c>
      <c r="E22">
        <v>44</v>
      </c>
      <c r="F22">
        <v>46</v>
      </c>
      <c r="H22" s="770"/>
      <c r="I22" s="771"/>
      <c r="J22">
        <v>7</v>
      </c>
    </row>
    <row r="23" spans="1:10" x14ac:dyDescent="0.25">
      <c r="A23">
        <v>36</v>
      </c>
      <c r="B23">
        <v>38</v>
      </c>
      <c r="C23">
        <v>46</v>
      </c>
      <c r="D23">
        <v>111</v>
      </c>
      <c r="E23">
        <v>66</v>
      </c>
      <c r="F23">
        <v>66</v>
      </c>
      <c r="H23" s="782"/>
      <c r="I23" s="783"/>
      <c r="J23">
        <v>7</v>
      </c>
    </row>
    <row r="24" spans="1:10" x14ac:dyDescent="0.25">
      <c r="A24">
        <v>95</v>
      </c>
      <c r="B24">
        <v>4</v>
      </c>
      <c r="C24">
        <v>7</v>
      </c>
      <c r="D24">
        <v>255</v>
      </c>
      <c r="E24">
        <v>255</v>
      </c>
      <c r="F24">
        <v>255</v>
      </c>
      <c r="H24" s="724"/>
      <c r="I24" s="3"/>
      <c r="J24">
        <v>6</v>
      </c>
    </row>
    <row r="25" spans="1:10" x14ac:dyDescent="0.25">
      <c r="A25">
        <v>4</v>
      </c>
      <c r="B25">
        <v>41</v>
      </c>
      <c r="C25">
        <v>88</v>
      </c>
      <c r="D25">
        <v>13</v>
      </c>
      <c r="E25">
        <v>126</v>
      </c>
      <c r="F25">
        <v>201</v>
      </c>
      <c r="H25" s="703"/>
      <c r="I25" s="704"/>
      <c r="J25">
        <v>6</v>
      </c>
    </row>
    <row r="26" spans="1:10" x14ac:dyDescent="0.25">
      <c r="A26">
        <v>204</v>
      </c>
      <c r="B26">
        <v>157</v>
      </c>
      <c r="C26">
        <v>56</v>
      </c>
      <c r="D26">
        <v>216</v>
      </c>
      <c r="E26">
        <v>169</v>
      </c>
      <c r="F26">
        <v>48</v>
      </c>
      <c r="H26" s="758"/>
      <c r="I26" s="759"/>
      <c r="J26">
        <v>6</v>
      </c>
    </row>
    <row r="27" spans="1:10" x14ac:dyDescent="0.25">
      <c r="A27">
        <v>220</v>
      </c>
      <c r="B27">
        <v>32</v>
      </c>
      <c r="C27">
        <v>52</v>
      </c>
      <c r="D27">
        <v>170</v>
      </c>
      <c r="E27">
        <v>190</v>
      </c>
      <c r="F27">
        <v>199</v>
      </c>
      <c r="H27" s="733"/>
      <c r="I27" s="734"/>
      <c r="J27">
        <v>5</v>
      </c>
    </row>
    <row r="28" spans="1:10" x14ac:dyDescent="0.25">
      <c r="A28">
        <v>251</v>
      </c>
      <c r="B28">
        <v>185</v>
      </c>
      <c r="C28">
        <v>29</v>
      </c>
      <c r="D28">
        <v>0</v>
      </c>
      <c r="E28">
        <v>66</v>
      </c>
      <c r="F28">
        <v>109</v>
      </c>
      <c r="H28" s="760"/>
      <c r="I28" s="761"/>
      <c r="J28">
        <v>5</v>
      </c>
    </row>
    <row r="29" spans="1:10" x14ac:dyDescent="0.25">
      <c r="A29">
        <v>78</v>
      </c>
      <c r="B29">
        <v>30</v>
      </c>
      <c r="C29">
        <v>129</v>
      </c>
      <c r="D29">
        <v>170</v>
      </c>
      <c r="E29">
        <v>168</v>
      </c>
      <c r="F29">
        <v>143</v>
      </c>
      <c r="H29" s="762"/>
      <c r="I29" s="763"/>
      <c r="J29">
        <v>5</v>
      </c>
    </row>
    <row r="30" spans="1:10" x14ac:dyDescent="0.25">
      <c r="A30">
        <v>113</v>
      </c>
      <c r="B30">
        <v>4</v>
      </c>
      <c r="C30">
        <v>16</v>
      </c>
      <c r="D30">
        <v>174</v>
      </c>
      <c r="E30">
        <v>147</v>
      </c>
      <c r="F30">
        <v>92</v>
      </c>
      <c r="H30" s="772"/>
      <c r="I30" s="773"/>
      <c r="J30">
        <v>5</v>
      </c>
    </row>
    <row r="31" spans="1:10" x14ac:dyDescent="0.25">
      <c r="A31">
        <v>239</v>
      </c>
      <c r="B31">
        <v>96</v>
      </c>
      <c r="C31">
        <v>15</v>
      </c>
      <c r="D31">
        <v>0</v>
      </c>
      <c r="E31">
        <v>0</v>
      </c>
      <c r="F31">
        <v>0</v>
      </c>
      <c r="H31" s="700"/>
      <c r="I31" s="4"/>
      <c r="J31">
        <v>5</v>
      </c>
    </row>
    <row r="32" spans="1:10" x14ac:dyDescent="0.25">
      <c r="A32">
        <v>250</v>
      </c>
      <c r="B32">
        <v>182</v>
      </c>
      <c r="C32">
        <v>20</v>
      </c>
      <c r="D32">
        <v>200</v>
      </c>
      <c r="E32">
        <v>30</v>
      </c>
      <c r="F32">
        <v>48</v>
      </c>
      <c r="H32" s="711"/>
      <c r="I32" s="712"/>
      <c r="J32">
        <v>4</v>
      </c>
    </row>
    <row r="33" spans="1:10" x14ac:dyDescent="0.25">
      <c r="A33">
        <v>0</v>
      </c>
      <c r="B33">
        <v>72</v>
      </c>
      <c r="C33">
        <v>89</v>
      </c>
      <c r="D33">
        <v>22</v>
      </c>
      <c r="E33">
        <v>141</v>
      </c>
      <c r="F33">
        <v>82</v>
      </c>
      <c r="H33" s="754"/>
      <c r="I33" s="755"/>
      <c r="J33">
        <v>4</v>
      </c>
    </row>
    <row r="34" spans="1:10" x14ac:dyDescent="0.25">
      <c r="A34">
        <v>155</v>
      </c>
      <c r="B34">
        <v>26</v>
      </c>
      <c r="C34">
        <v>42</v>
      </c>
      <c r="D34">
        <v>85</v>
      </c>
      <c r="E34">
        <v>66</v>
      </c>
      <c r="F34">
        <v>64</v>
      </c>
      <c r="H34" s="764"/>
      <c r="I34" s="765"/>
      <c r="J34">
        <v>4</v>
      </c>
    </row>
    <row r="35" spans="1:10" x14ac:dyDescent="0.25">
      <c r="A35">
        <v>198</v>
      </c>
      <c r="B35">
        <v>20</v>
      </c>
      <c r="C35">
        <v>27</v>
      </c>
      <c r="D35">
        <v>141</v>
      </c>
      <c r="E35">
        <v>11</v>
      </c>
      <c r="F35">
        <v>20</v>
      </c>
      <c r="H35" s="780"/>
      <c r="I35" s="781"/>
      <c r="J35">
        <v>4</v>
      </c>
    </row>
    <row r="36" spans="1:10" x14ac:dyDescent="0.25">
      <c r="A36">
        <v>18</v>
      </c>
      <c r="B36">
        <v>84</v>
      </c>
      <c r="C36">
        <v>177</v>
      </c>
      <c r="D36">
        <v>221</v>
      </c>
      <c r="E36">
        <v>0</v>
      </c>
      <c r="F36">
        <v>19</v>
      </c>
      <c r="H36" s="713"/>
      <c r="I36" s="714"/>
      <c r="J36">
        <v>3</v>
      </c>
    </row>
    <row r="37" spans="1:10" x14ac:dyDescent="0.25">
      <c r="A37">
        <v>15</v>
      </c>
      <c r="B37">
        <v>101</v>
      </c>
      <c r="C37">
        <v>186</v>
      </c>
      <c r="D37">
        <v>0</v>
      </c>
      <c r="E37">
        <v>70</v>
      </c>
      <c r="F37">
        <v>86</v>
      </c>
      <c r="H37" s="727"/>
      <c r="I37" s="728"/>
      <c r="J37">
        <v>3</v>
      </c>
    </row>
    <row r="38" spans="1:10" x14ac:dyDescent="0.25">
      <c r="A38">
        <v>234</v>
      </c>
      <c r="B38">
        <v>82</v>
      </c>
      <c r="C38">
        <v>11</v>
      </c>
      <c r="D38">
        <v>27</v>
      </c>
      <c r="E38">
        <v>43</v>
      </c>
      <c r="F38">
        <v>145</v>
      </c>
      <c r="H38" s="756"/>
      <c r="I38" s="757"/>
      <c r="J38">
        <v>3</v>
      </c>
    </row>
    <row r="39" spans="1:10" x14ac:dyDescent="0.25">
      <c r="A39">
        <v>123</v>
      </c>
      <c r="B39">
        <v>96</v>
      </c>
      <c r="C39">
        <v>126</v>
      </c>
      <c r="D39">
        <v>0</v>
      </c>
      <c r="E39">
        <v>0</v>
      </c>
      <c r="F39">
        <v>0</v>
      </c>
      <c r="H39" s="768"/>
      <c r="I39" s="4"/>
      <c r="J39">
        <v>3</v>
      </c>
    </row>
    <row r="40" spans="1:10" x14ac:dyDescent="0.25">
      <c r="A40">
        <v>0</v>
      </c>
      <c r="B40">
        <v>33</v>
      </c>
      <c r="C40">
        <v>114</v>
      </c>
      <c r="D40">
        <v>204</v>
      </c>
      <c r="E40">
        <v>0</v>
      </c>
      <c r="F40">
        <v>0</v>
      </c>
      <c r="H40" s="769"/>
      <c r="I40" s="109"/>
      <c r="J40">
        <v>3</v>
      </c>
    </row>
    <row r="41" spans="1:10" x14ac:dyDescent="0.25">
      <c r="A41">
        <v>255</v>
      </c>
      <c r="B41">
        <v>195</v>
      </c>
      <c r="C41">
        <v>29</v>
      </c>
      <c r="D41">
        <v>223</v>
      </c>
      <c r="E41">
        <v>216</v>
      </c>
      <c r="F41">
        <v>200</v>
      </c>
      <c r="H41" s="698"/>
      <c r="I41" s="699"/>
      <c r="J41">
        <v>3</v>
      </c>
    </row>
    <row r="42" spans="1:10" x14ac:dyDescent="0.25">
      <c r="A42">
        <v>180</v>
      </c>
      <c r="B42">
        <v>167</v>
      </c>
      <c r="C42">
        <v>135</v>
      </c>
      <c r="D42">
        <v>0</v>
      </c>
      <c r="E42">
        <v>51</v>
      </c>
      <c r="F42">
        <v>100</v>
      </c>
      <c r="H42" s="778"/>
      <c r="I42" s="779"/>
      <c r="J42">
        <v>3</v>
      </c>
    </row>
    <row r="43" spans="1:10" x14ac:dyDescent="0.25">
      <c r="A43">
        <v>115</v>
      </c>
      <c r="B43">
        <v>8</v>
      </c>
      <c r="C43">
        <v>37</v>
      </c>
      <c r="D43">
        <v>216</v>
      </c>
      <c r="E43">
        <v>35</v>
      </c>
      <c r="F43">
        <v>36</v>
      </c>
      <c r="H43" s="701"/>
      <c r="I43" s="702"/>
      <c r="J43">
        <v>2</v>
      </c>
    </row>
    <row r="44" spans="1:10" x14ac:dyDescent="0.25">
      <c r="A44">
        <v>247</v>
      </c>
      <c r="B44">
        <v>69</v>
      </c>
      <c r="C44">
        <v>21</v>
      </c>
      <c r="D44">
        <v>255</v>
      </c>
      <c r="E44">
        <v>255</v>
      </c>
      <c r="F44">
        <v>255</v>
      </c>
      <c r="H44" s="715"/>
      <c r="I44" s="3"/>
      <c r="J44">
        <v>2</v>
      </c>
    </row>
    <row r="45" spans="1:10" x14ac:dyDescent="0.25">
      <c r="A45">
        <v>81</v>
      </c>
      <c r="B45">
        <v>144</v>
      </c>
      <c r="C45">
        <v>208</v>
      </c>
      <c r="D45">
        <v>16</v>
      </c>
      <c r="E45">
        <v>46</v>
      </c>
      <c r="F45">
        <v>84</v>
      </c>
      <c r="H45" s="716"/>
      <c r="I45" s="717"/>
      <c r="J45">
        <v>2</v>
      </c>
    </row>
    <row r="46" spans="1:10" x14ac:dyDescent="0.25">
      <c r="A46">
        <v>0</v>
      </c>
      <c r="B46">
        <v>166</v>
      </c>
      <c r="C46">
        <v>66</v>
      </c>
      <c r="D46">
        <v>167</v>
      </c>
      <c r="E46">
        <v>172</v>
      </c>
      <c r="F46">
        <v>174</v>
      </c>
      <c r="H46" s="722"/>
      <c r="I46" s="723"/>
      <c r="J46">
        <v>2</v>
      </c>
    </row>
    <row r="47" spans="1:10" x14ac:dyDescent="0.25">
      <c r="A47">
        <v>66</v>
      </c>
      <c r="B47">
        <v>20</v>
      </c>
      <c r="C47">
        <v>124</v>
      </c>
      <c r="D47">
        <v>221</v>
      </c>
      <c r="E47">
        <v>210</v>
      </c>
      <c r="F47">
        <v>186</v>
      </c>
      <c r="H47" s="738"/>
      <c r="I47" s="739"/>
      <c r="J47">
        <v>2</v>
      </c>
    </row>
    <row r="48" spans="1:10" x14ac:dyDescent="0.25">
      <c r="A48">
        <v>97</v>
      </c>
      <c r="B48">
        <v>181</v>
      </c>
      <c r="C48">
        <v>231</v>
      </c>
      <c r="D48">
        <v>255</v>
      </c>
      <c r="E48">
        <v>203</v>
      </c>
      <c r="F48">
        <v>48</v>
      </c>
      <c r="H48" s="705"/>
      <c r="I48" s="706"/>
      <c r="J48">
        <v>2</v>
      </c>
    </row>
    <row r="49" spans="1:10" x14ac:dyDescent="0.25">
      <c r="A49">
        <v>115</v>
      </c>
      <c r="B49">
        <v>0</v>
      </c>
      <c r="C49">
        <v>10</v>
      </c>
      <c r="D49">
        <v>0</v>
      </c>
      <c r="E49">
        <v>0</v>
      </c>
      <c r="F49">
        <v>0</v>
      </c>
      <c r="H49" s="106"/>
      <c r="I49" s="4"/>
      <c r="J49">
        <v>1</v>
      </c>
    </row>
    <row r="50" spans="1:10" x14ac:dyDescent="0.25">
      <c r="A50">
        <v>168</v>
      </c>
      <c r="B50">
        <v>153</v>
      </c>
      <c r="C50">
        <v>110</v>
      </c>
      <c r="D50">
        <v>152</v>
      </c>
      <c r="E50">
        <v>0</v>
      </c>
      <c r="F50">
        <v>46</v>
      </c>
      <c r="H50" s="159"/>
      <c r="I50" s="22"/>
      <c r="J50">
        <v>1</v>
      </c>
    </row>
    <row r="51" spans="1:10" x14ac:dyDescent="0.25">
      <c r="A51">
        <v>245</v>
      </c>
      <c r="B51">
        <v>128</v>
      </c>
      <c r="C51">
        <v>38</v>
      </c>
      <c r="D51">
        <v>0</v>
      </c>
      <c r="E51">
        <v>100</v>
      </c>
      <c r="F51">
        <v>177</v>
      </c>
      <c r="H51" s="541"/>
      <c r="I51" s="542"/>
      <c r="J51">
        <v>1</v>
      </c>
    </row>
    <row r="52" spans="1:10" x14ac:dyDescent="0.25">
      <c r="H52" s="4"/>
      <c r="I52" s="4"/>
    </row>
    <row r="53" spans="1:10" x14ac:dyDescent="0.25">
      <c r="H53" s="4"/>
      <c r="I53" s="4"/>
    </row>
    <row r="54" spans="1:10" x14ac:dyDescent="0.25">
      <c r="H54" s="4"/>
      <c r="I54" s="4"/>
    </row>
    <row r="55" spans="1:10" x14ac:dyDescent="0.25">
      <c r="H55" s="4"/>
      <c r="I55" s="4"/>
    </row>
    <row r="56" spans="1:10" x14ac:dyDescent="0.25">
      <c r="H56" s="4"/>
      <c r="I56" s="4"/>
    </row>
    <row r="57" spans="1:10" x14ac:dyDescent="0.25">
      <c r="H57" s="4"/>
      <c r="I57" s="4"/>
    </row>
    <row r="58" spans="1:10" x14ac:dyDescent="0.25">
      <c r="H58" s="4"/>
      <c r="I58" s="4"/>
    </row>
    <row r="59" spans="1:10" x14ac:dyDescent="0.25">
      <c r="H59" s="4"/>
      <c r="I59" s="4"/>
    </row>
    <row r="60" spans="1:10" x14ac:dyDescent="0.25">
      <c r="H60" s="4"/>
      <c r="I60" s="4"/>
    </row>
    <row r="61" spans="1:10" x14ac:dyDescent="0.25">
      <c r="H61" s="4"/>
      <c r="I61" s="4"/>
    </row>
    <row r="62" spans="1:10" x14ac:dyDescent="0.25">
      <c r="H62" s="4"/>
      <c r="I62" s="4"/>
    </row>
    <row r="63" spans="1:10" x14ac:dyDescent="0.25">
      <c r="H63" s="4"/>
      <c r="I63" s="4"/>
    </row>
    <row r="64" spans="1:10" x14ac:dyDescent="0.25">
      <c r="H64" s="4"/>
      <c r="I64" s="4"/>
    </row>
    <row r="65" spans="8:9" x14ac:dyDescent="0.25">
      <c r="H65" s="4"/>
      <c r="I65" s="4"/>
    </row>
    <row r="66" spans="8:9" x14ac:dyDescent="0.25">
      <c r="H66" s="4"/>
      <c r="I66" s="4"/>
    </row>
    <row r="67" spans="8:9" x14ac:dyDescent="0.25">
      <c r="H67" s="4"/>
      <c r="I67" s="4"/>
    </row>
    <row r="68" spans="8:9" x14ac:dyDescent="0.25">
      <c r="H68" s="4"/>
      <c r="I68" s="4"/>
    </row>
    <row r="69" spans="8:9" x14ac:dyDescent="0.25">
      <c r="H69" s="4"/>
      <c r="I69" s="4"/>
    </row>
    <row r="70" spans="8:9" x14ac:dyDescent="0.25">
      <c r="H70" s="4"/>
      <c r="I70" s="4"/>
    </row>
    <row r="71" spans="8:9" x14ac:dyDescent="0.25">
      <c r="H71" s="4"/>
      <c r="I71" s="4"/>
    </row>
    <row r="72" spans="8:9" x14ac:dyDescent="0.25">
      <c r="H72" s="4"/>
      <c r="I72" s="4"/>
    </row>
    <row r="73" spans="8:9" x14ac:dyDescent="0.25">
      <c r="H73" s="4"/>
      <c r="I73" s="4"/>
    </row>
    <row r="74" spans="8:9" x14ac:dyDescent="0.25">
      <c r="H74" s="4"/>
      <c r="I74" s="4"/>
    </row>
    <row r="75" spans="8:9" x14ac:dyDescent="0.25">
      <c r="H75" s="4"/>
      <c r="I75" s="4"/>
    </row>
    <row r="76" spans="8:9" x14ac:dyDescent="0.25">
      <c r="H76" s="4"/>
      <c r="I76" s="4"/>
    </row>
    <row r="77" spans="8:9" x14ac:dyDescent="0.25">
      <c r="H77" s="4"/>
      <c r="I77" s="4"/>
    </row>
    <row r="78" spans="8:9" x14ac:dyDescent="0.25">
      <c r="H78" s="4"/>
      <c r="I78" s="4"/>
    </row>
    <row r="79" spans="8:9" x14ac:dyDescent="0.25">
      <c r="H79" s="4"/>
      <c r="I79" s="4"/>
    </row>
    <row r="80" spans="8:9" x14ac:dyDescent="0.25">
      <c r="H80" s="4"/>
      <c r="I80" s="4"/>
    </row>
    <row r="81" spans="8:9" x14ac:dyDescent="0.25">
      <c r="H81" s="4"/>
      <c r="I81" s="4"/>
    </row>
    <row r="82" spans="8:9" x14ac:dyDescent="0.25">
      <c r="H82" s="4"/>
      <c r="I82" s="4"/>
    </row>
    <row r="83" spans="8:9" x14ac:dyDescent="0.25">
      <c r="H83" s="4"/>
      <c r="I83" s="4"/>
    </row>
    <row r="84" spans="8:9" x14ac:dyDescent="0.25">
      <c r="H84" s="4"/>
      <c r="I84" s="4"/>
    </row>
    <row r="85" spans="8:9" x14ac:dyDescent="0.25">
      <c r="H85" s="4"/>
      <c r="I85" s="4"/>
    </row>
    <row r="86" spans="8:9" x14ac:dyDescent="0.25">
      <c r="H86" s="4"/>
      <c r="I86" s="4"/>
    </row>
    <row r="87" spans="8:9" x14ac:dyDescent="0.25">
      <c r="H87" s="4"/>
      <c r="I87" s="4"/>
    </row>
    <row r="88" spans="8:9" x14ac:dyDescent="0.25">
      <c r="H88" s="4"/>
      <c r="I88" s="4"/>
    </row>
    <row r="89" spans="8:9" x14ac:dyDescent="0.25">
      <c r="H89" s="4"/>
      <c r="I89" s="4"/>
    </row>
    <row r="90" spans="8:9" x14ac:dyDescent="0.25">
      <c r="H90" s="4"/>
      <c r="I90" s="4"/>
    </row>
    <row r="91" spans="8:9" x14ac:dyDescent="0.25">
      <c r="H91" s="4"/>
      <c r="I91" s="4"/>
    </row>
    <row r="92" spans="8:9" x14ac:dyDescent="0.25">
      <c r="H92" s="4"/>
      <c r="I92" s="4"/>
    </row>
    <row r="93" spans="8:9" x14ac:dyDescent="0.25">
      <c r="H93" s="4"/>
      <c r="I93" s="4"/>
    </row>
    <row r="94" spans="8:9" x14ac:dyDescent="0.25">
      <c r="H94" s="4"/>
      <c r="I94" s="4"/>
    </row>
    <row r="95" spans="8:9" x14ac:dyDescent="0.25">
      <c r="H95" s="4"/>
      <c r="I95" s="4"/>
    </row>
    <row r="96" spans="8:9" x14ac:dyDescent="0.25">
      <c r="H96" s="4"/>
      <c r="I96" s="4"/>
    </row>
    <row r="97" spans="8:9" x14ac:dyDescent="0.25">
      <c r="H97" s="4"/>
      <c r="I97" s="4"/>
    </row>
    <row r="98" spans="8:9" x14ac:dyDescent="0.25">
      <c r="H98" s="4"/>
      <c r="I98" s="4"/>
    </row>
    <row r="99" spans="8:9" x14ac:dyDescent="0.25">
      <c r="H99" s="4"/>
      <c r="I99" s="4"/>
    </row>
    <row r="100" spans="8:9" x14ac:dyDescent="0.25">
      <c r="H100" s="4"/>
      <c r="I100" s="4"/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F76AF24-5373-4633-8BA9-52EA41EC5AA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Source</vt:lpstr>
      <vt:lpstr>NCAA v2</vt:lpstr>
      <vt:lpstr>colorRef</vt:lpstr>
      <vt:lpstr>Pairs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Karson Sommer</dc:creator>
  <cp:lastModifiedBy>Karson Sommer</cp:lastModifiedBy>
  <dcterms:created xsi:type="dcterms:W3CDTF">2020-08-09T14:08:11Z</dcterms:created>
  <dcterms:modified xsi:type="dcterms:W3CDTF">2021-01-09T16:59:21Z</dcterms:modified>
</cp:coreProperties>
</file>